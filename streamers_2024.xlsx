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L1PEPF00010AD2\EXCELCNV\aa43a049-706d-4f6b-926c-1169e28f74d9\"/>
    </mc:Choice>
  </mc:AlternateContent>
  <xr:revisionPtr revIDLastSave="0" documentId="8_{AE3DB954-38D3-4BDE-8272-377A80A0D015}" xr6:coauthVersionLast="47" xr6:coauthVersionMax="47" xr10:uidLastSave="{00000000-0000-0000-0000-000000000000}"/>
  <bookViews>
    <workbookView xWindow="-60" yWindow="-60" windowWidth="15480" windowHeight="11640" activeTab="2" xr2:uid="{F4B4116E-FF62-4599-A6BE-5968939D05EC}"/>
  </bookViews>
  <sheets>
    <sheet name="Languages" sheetId="2" r:id="rId1"/>
    <sheet name="Creator Category" sheetId="3" r:id="rId2"/>
    <sheet name="Followers Per Day" sheetId="4" r:id="rId3"/>
    <sheet name="Streamers 2024" sheetId="1" r:id="rId4"/>
  </sheets>
  <definedNames>
    <definedName name="Slicer_type">#N/A</definedName>
  </definedNames>
  <calcPr calcId="191028"/>
  <pivotCaches>
    <pivotCache cacheId="19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00" i="1" l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</calcChain>
</file>

<file path=xl/sharedStrings.xml><?xml version="1.0" encoding="utf-8"?>
<sst xmlns="http://schemas.openxmlformats.org/spreadsheetml/2006/main" count="6960" uniqueCount="1264">
  <si>
    <t>language</t>
  </si>
  <si>
    <t>Count of name</t>
  </si>
  <si>
    <t>Chinese</t>
  </si>
  <si>
    <t>English</t>
  </si>
  <si>
    <t>French</t>
  </si>
  <si>
    <t>Japanese</t>
  </si>
  <si>
    <t>Portuguese</t>
  </si>
  <si>
    <t>Spanish</t>
  </si>
  <si>
    <t>Grand Total</t>
  </si>
  <si>
    <t>Creator Category</t>
  </si>
  <si>
    <t>Average of avg_viewers_per_stream</t>
  </si>
  <si>
    <t>Focused</t>
  </si>
  <si>
    <t>Variety</t>
  </si>
  <si>
    <t>day_with_most_followers_gained</t>
  </si>
  <si>
    <t>Sunday</t>
  </si>
  <si>
    <t>Saturday</t>
  </si>
  <si>
    <t>Monday</t>
  </si>
  <si>
    <t>Tuesday</t>
  </si>
  <si>
    <t>Friday</t>
  </si>
  <si>
    <t>Wednesday</t>
  </si>
  <si>
    <t>Thursday</t>
  </si>
  <si>
    <t>rank</t>
  </si>
  <si>
    <t>name</t>
  </si>
  <si>
    <t>type</t>
  </si>
  <si>
    <t>most_streamed_game</t>
  </si>
  <si>
    <t>second_most_streamed_game</t>
  </si>
  <si>
    <t>average_stream_duration</t>
  </si>
  <si>
    <t>followers_gained_per_stream</t>
  </si>
  <si>
    <t>avg_viewers_per_stream</t>
  </si>
  <si>
    <t>avg_games_per_stream</t>
  </si>
  <si>
    <t>total_time_streamed</t>
  </si>
  <si>
    <t>total_followers</t>
  </si>
  <si>
    <t>total_views</t>
  </si>
  <si>
    <t>total_games_streamed</t>
  </si>
  <si>
    <t>active_days_per_week</t>
  </si>
  <si>
    <t>most_active_day</t>
  </si>
  <si>
    <t>Followers Per Hour</t>
  </si>
  <si>
    <t>Engagement Rate</t>
  </si>
  <si>
    <t>kaicenat</t>
  </si>
  <si>
    <t>personality</t>
  </si>
  <si>
    <t>Just Chatting</t>
  </si>
  <si>
    <t>I'm Only Sleeping</t>
  </si>
  <si>
    <t>jynxzi</t>
  </si>
  <si>
    <t>Tom Clancy's Rainbow Six Siege</t>
  </si>
  <si>
    <t>NBA 2K20</t>
  </si>
  <si>
    <t>caedrel</t>
  </si>
  <si>
    <t>League of Legends</t>
  </si>
  <si>
    <t>caseoh_</t>
  </si>
  <si>
    <t>NBA 2K23</t>
  </si>
  <si>
    <t>ibai</t>
  </si>
  <si>
    <t>auronplay</t>
  </si>
  <si>
    <t>Minecraft</t>
  </si>
  <si>
    <t>zerator</t>
  </si>
  <si>
    <t>World of Warcraft</t>
  </si>
  <si>
    <t>VALORANT</t>
  </si>
  <si>
    <t>tarik</t>
  </si>
  <si>
    <t>Counter-Strike</t>
  </si>
  <si>
    <t>riotgames</t>
  </si>
  <si>
    <t>esports</t>
  </si>
  <si>
    <t>League of Legends: Wild Rift</t>
  </si>
  <si>
    <t>papaplatte</t>
  </si>
  <si>
    <t>German</t>
  </si>
  <si>
    <t>dota2_paragon_ru</t>
  </si>
  <si>
    <t>Russian</t>
  </si>
  <si>
    <t>Dota 2</t>
  </si>
  <si>
    <t>aminematue</t>
  </si>
  <si>
    <t>Grand Theft Auto V</t>
  </si>
  <si>
    <t>kato_junichi0817</t>
  </si>
  <si>
    <t>Apex Legends</t>
  </si>
  <si>
    <t>fps_shaka</t>
  </si>
  <si>
    <t>PUBG: BATTLEGROUNDS</t>
  </si>
  <si>
    <t>illojuan</t>
  </si>
  <si>
    <t>hasanabi</t>
  </si>
  <si>
    <t>montanablack88</t>
  </si>
  <si>
    <t>Fortnite</t>
  </si>
  <si>
    <t>playapex</t>
  </si>
  <si>
    <t>lolpacifictw</t>
  </si>
  <si>
    <t>pgl_dota2</t>
  </si>
  <si>
    <t>xqc</t>
  </si>
  <si>
    <t>Overwatch</t>
  </si>
  <si>
    <t>loud_coringa</t>
  </si>
  <si>
    <t>raderaderader</t>
  </si>
  <si>
    <t>gaules</t>
  </si>
  <si>
    <t>Among Us</t>
  </si>
  <si>
    <t>yuuri22</t>
  </si>
  <si>
    <t>Virtual Casino</t>
  </si>
  <si>
    <t>eliasn97</t>
  </si>
  <si>
    <t>lord_kebun</t>
  </si>
  <si>
    <t>Call of Duty: Warzone</t>
  </si>
  <si>
    <t>zackrawrr</t>
  </si>
  <si>
    <t>tumblurr</t>
  </si>
  <si>
    <t>Italian</t>
  </si>
  <si>
    <t>ow_esports</t>
  </si>
  <si>
    <t>Overwatch 2</t>
  </si>
  <si>
    <t>shroud</t>
  </si>
  <si>
    <t>legendus_shaka</t>
  </si>
  <si>
    <t>Street Fighter 6</t>
  </si>
  <si>
    <t>paulinholokobr</t>
  </si>
  <si>
    <t>Slots</t>
  </si>
  <si>
    <t>squeezie</t>
  </si>
  <si>
    <t>Garry's Mod</t>
  </si>
  <si>
    <t>kamet0</t>
  </si>
  <si>
    <t>gronkh</t>
  </si>
  <si>
    <t>kingsleagueamericas</t>
  </si>
  <si>
    <t>Sports</t>
  </si>
  <si>
    <t>mixwell</t>
  </si>
  <si>
    <t>brawlstars</t>
  </si>
  <si>
    <t>Brawl Stars</t>
  </si>
  <si>
    <t>summit1g</t>
  </si>
  <si>
    <t>Escape from Tarkov</t>
  </si>
  <si>
    <t>lirik</t>
  </si>
  <si>
    <t>desst3</t>
  </si>
  <si>
    <t>wirtual</t>
  </si>
  <si>
    <t>Trackmania</t>
  </si>
  <si>
    <t>TrackMania 2: Stadium</t>
  </si>
  <si>
    <t>warframe</t>
  </si>
  <si>
    <t>Warframe</t>
  </si>
  <si>
    <t>Special Events</t>
  </si>
  <si>
    <t>nicewigg</t>
  </si>
  <si>
    <t>stylishnoob4</t>
  </si>
  <si>
    <t>rocketleague</t>
  </si>
  <si>
    <t>Rocket League</t>
  </si>
  <si>
    <t>k3soju</t>
  </si>
  <si>
    <t>Teamfight Tactics</t>
  </si>
  <si>
    <t>rubius</t>
  </si>
  <si>
    <t>zubarefff</t>
  </si>
  <si>
    <t>tenz</t>
  </si>
  <si>
    <t>otplol_</t>
  </si>
  <si>
    <t>casimito</t>
  </si>
  <si>
    <t>cameliaaa92</t>
  </si>
  <si>
    <t>piratesoftware</t>
  </si>
  <si>
    <t>Software and Game Development</t>
  </si>
  <si>
    <t>Science &amp; Technology</t>
  </si>
  <si>
    <t>alanzoka</t>
  </si>
  <si>
    <t>valorant_americas</t>
  </si>
  <si>
    <t>Valorant</t>
  </si>
  <si>
    <t>gofns</t>
  </si>
  <si>
    <t>goa7league</t>
  </si>
  <si>
    <t>nexxuz</t>
  </si>
  <si>
    <t>ohnepixel</t>
  </si>
  <si>
    <t>tsm_imperialhal</t>
  </si>
  <si>
    <t>mizkif</t>
  </si>
  <si>
    <t>zetadivision</t>
  </si>
  <si>
    <t>elmariana</t>
  </si>
  <si>
    <t>angryginge13</t>
  </si>
  <si>
    <t>FIFA 23</t>
  </si>
  <si>
    <t>lvndmark</t>
  </si>
  <si>
    <t>nmplol</t>
  </si>
  <si>
    <t>bisteconee</t>
  </si>
  <si>
    <t>loltyler1</t>
  </si>
  <si>
    <t>IRL</t>
  </si>
  <si>
    <t>valorant_jpn</t>
  </si>
  <si>
    <t>bratishkinoff</t>
  </si>
  <si>
    <t>noway4u_sir</t>
  </si>
  <si>
    <t>forsen</t>
  </si>
  <si>
    <t>easportsfc</t>
  </si>
  <si>
    <t>FIFA 21</t>
  </si>
  <si>
    <t>FIFA 22</t>
  </si>
  <si>
    <t>alondrissa</t>
  </si>
  <si>
    <t>youngmulti</t>
  </si>
  <si>
    <t>Polish</t>
  </si>
  <si>
    <t>s0mcs</t>
  </si>
  <si>
    <t>rainbow6</t>
  </si>
  <si>
    <t>fantasista_jp</t>
  </si>
  <si>
    <t>sodapoppin</t>
  </si>
  <si>
    <t>spursito</t>
  </si>
  <si>
    <t>jltomy</t>
  </si>
  <si>
    <t>emiru</t>
  </si>
  <si>
    <t>recrent</t>
  </si>
  <si>
    <t>kanae_2434</t>
  </si>
  <si>
    <t>baiano</t>
  </si>
  <si>
    <t>moonmoon</t>
  </si>
  <si>
    <t>thebausffs</t>
  </si>
  <si>
    <t>fissure_cs_eng</t>
  </si>
  <si>
    <t>imantado</t>
  </si>
  <si>
    <t>handofblood</t>
  </si>
  <si>
    <t>esports_rage</t>
  </si>
  <si>
    <t>tck10</t>
  </si>
  <si>
    <t>esl_dota2</t>
  </si>
  <si>
    <t>xayoo_</t>
  </si>
  <si>
    <t>rostislav_999</t>
  </si>
  <si>
    <t>gorgc</t>
  </si>
  <si>
    <t>buster</t>
  </si>
  <si>
    <t>domingo</t>
  </si>
  <si>
    <t>elxokas</t>
  </si>
  <si>
    <t>quackitytoo</t>
  </si>
  <si>
    <t>k4sen</t>
  </si>
  <si>
    <t>s1mple</t>
  </si>
  <si>
    <t>silvername</t>
  </si>
  <si>
    <t>Hearthstone</t>
  </si>
  <si>
    <t>gotaga</t>
  </si>
  <si>
    <t>tolkin</t>
  </si>
  <si>
    <t>djmariio</t>
  </si>
  <si>
    <t>EA Sports FC 24</t>
  </si>
  <si>
    <t>shadowkekw</t>
  </si>
  <si>
    <t>valorant_pacific</t>
  </si>
  <si>
    <t>revedtv</t>
  </si>
  <si>
    <t>hinanotachiba7</t>
  </si>
  <si>
    <t>quin69</t>
  </si>
  <si>
    <t>Path of Exile</t>
  </si>
  <si>
    <t>luquet4</t>
  </si>
  <si>
    <t>rivers_gg</t>
  </si>
  <si>
    <t>paymoneywubby</t>
  </si>
  <si>
    <t>elspreen</t>
  </si>
  <si>
    <t>warcraft</t>
  </si>
  <si>
    <t>cellbit</t>
  </si>
  <si>
    <t>Tabletop RPGs</t>
  </si>
  <si>
    <t>clix</t>
  </si>
  <si>
    <t>maximilian_dood</t>
  </si>
  <si>
    <t>Monster Hunter: World</t>
  </si>
  <si>
    <t>dkincc</t>
  </si>
  <si>
    <t>knekro</t>
  </si>
  <si>
    <t>eslcsb</t>
  </si>
  <si>
    <t>valorant_emea</t>
  </si>
  <si>
    <t>trymacs</t>
  </si>
  <si>
    <t>Clash Royale</t>
  </si>
  <si>
    <t>thesketchreal</t>
  </si>
  <si>
    <t>Madden NFL 24</t>
  </si>
  <si>
    <t>ironmouse</t>
  </si>
  <si>
    <t>plaqueboymax</t>
  </si>
  <si>
    <t>Music</t>
  </si>
  <si>
    <t>dmitry_lixxx</t>
  </si>
  <si>
    <t>elajjaz</t>
  </si>
  <si>
    <t>Dark Souls</t>
  </si>
  <si>
    <t>ELDEN RING</t>
  </si>
  <si>
    <t>therealknossi</t>
  </si>
  <si>
    <t>Poker</t>
  </si>
  <si>
    <t>agent00</t>
  </si>
  <si>
    <t>wtcn</t>
  </si>
  <si>
    <t>Turkish</t>
  </si>
  <si>
    <t>gamerbrother</t>
  </si>
  <si>
    <t>esfandtv</t>
  </si>
  <si>
    <t>nikof</t>
  </si>
  <si>
    <t>Rust</t>
  </si>
  <si>
    <t>jonvlogs</t>
  </si>
  <si>
    <t>ramee</t>
  </si>
  <si>
    <t>xmerghani</t>
  </si>
  <si>
    <t>rezo</t>
  </si>
  <si>
    <t>Gartic Phone</t>
  </si>
  <si>
    <t>cohhcarnage</t>
  </si>
  <si>
    <t>Talk Shows &amp; Podcasts</t>
  </si>
  <si>
    <t>jasontheween</t>
  </si>
  <si>
    <t>gocchanmikey</t>
  </si>
  <si>
    <t>simurgh</t>
  </si>
  <si>
    <t>Ashes of Creation</t>
  </si>
  <si>
    <t>The Elder Scrolls Online</t>
  </si>
  <si>
    <t>jasper7se</t>
  </si>
  <si>
    <t>leb1ga</t>
  </si>
  <si>
    <t>Ukrainian</t>
  </si>
  <si>
    <t>riotgamesjp</t>
  </si>
  <si>
    <t>mastersnakou</t>
  </si>
  <si>
    <t>stray228</t>
  </si>
  <si>
    <t>The Last of Us Part II</t>
  </si>
  <si>
    <t>northernlion</t>
  </si>
  <si>
    <t>Super Auto Pets</t>
  </si>
  <si>
    <t>The Binding of Isaac: Repentance</t>
  </si>
  <si>
    <t>stableronaldo</t>
  </si>
  <si>
    <t>bren_tm2</t>
  </si>
  <si>
    <t>TrackMania (1)</t>
  </si>
  <si>
    <t>unboxholics</t>
  </si>
  <si>
    <t>davooxeneize</t>
  </si>
  <si>
    <t>Winning Eleven: Pro Evolution Soccer 2007</t>
  </si>
  <si>
    <t>hiiragitsurugi</t>
  </si>
  <si>
    <t>hanjoudesu</t>
  </si>
  <si>
    <t>gabepeixe</t>
  </si>
  <si>
    <t>roger9527</t>
  </si>
  <si>
    <t>juansguarnizo</t>
  </si>
  <si>
    <t>locklear</t>
  </si>
  <si>
    <t>bysl4m</t>
  </si>
  <si>
    <t>sasatikk</t>
  </si>
  <si>
    <t>pauleta_twitch</t>
  </si>
  <si>
    <t>Call of Duty: Modern Warfare III</t>
  </si>
  <si>
    <t>magic</t>
  </si>
  <si>
    <t>Magic: The Gathering</t>
  </si>
  <si>
    <t>Magic: The Gathering (1)</t>
  </si>
  <si>
    <t>lenagol0vach</t>
  </si>
  <si>
    <t>antoinedaniel</t>
  </si>
  <si>
    <t>GeoGuessr</t>
  </si>
  <si>
    <t>dreadztv</t>
  </si>
  <si>
    <t>Mount &amp; Blade II: Bannerlord</t>
  </si>
  <si>
    <t>lacy</t>
  </si>
  <si>
    <t>fortnite</t>
  </si>
  <si>
    <t>sykkuno</t>
  </si>
  <si>
    <t>botezlive</t>
  </si>
  <si>
    <t>Chess</t>
  </si>
  <si>
    <t>m0nesyof</t>
  </si>
  <si>
    <t>esl_dota2ember</t>
  </si>
  <si>
    <t>wankilstudio</t>
  </si>
  <si>
    <t>rdcgaming</t>
  </si>
  <si>
    <t>aztecross</t>
  </si>
  <si>
    <t>Destiny 2</t>
  </si>
  <si>
    <t>Destiny</t>
  </si>
  <si>
    <t>worldoftanks</t>
  </si>
  <si>
    <t>World of Tanks</t>
  </si>
  <si>
    <t>Project CW</t>
  </si>
  <si>
    <t>evo</t>
  </si>
  <si>
    <t>Tekken 7</t>
  </si>
  <si>
    <t>amazonmusic</t>
  </si>
  <si>
    <t>guilty1223</t>
  </si>
  <si>
    <t>cr_vanilla</t>
  </si>
  <si>
    <t>h2p_gucio</t>
  </si>
  <si>
    <t>jesusavgn</t>
  </si>
  <si>
    <t>rdjavi</t>
  </si>
  <si>
    <t>maximebiaggi</t>
  </si>
  <si>
    <t>joueur_du_grenier</t>
  </si>
  <si>
    <t>skywhywalker</t>
  </si>
  <si>
    <t>nba2kleague</t>
  </si>
  <si>
    <t>NBA 2K22</t>
  </si>
  <si>
    <t>wenlobong</t>
  </si>
  <si>
    <t>vodkavdk</t>
  </si>
  <si>
    <t>schlatt</t>
  </si>
  <si>
    <t>mrsavage</t>
  </si>
  <si>
    <t>bykingcl</t>
  </si>
  <si>
    <t>tectone</t>
  </si>
  <si>
    <t>Genshin Impact</t>
  </si>
  <si>
    <t>litkillah</t>
  </si>
  <si>
    <t>doublelift</t>
  </si>
  <si>
    <t>maya</t>
  </si>
  <si>
    <t>scump</t>
  </si>
  <si>
    <t>Call of Duty: Black Ops 4</t>
  </si>
  <si>
    <t>cdawgva</t>
  </si>
  <si>
    <t>tisischubech</t>
  </si>
  <si>
    <t>therealmarzaa</t>
  </si>
  <si>
    <t>ravshann</t>
  </si>
  <si>
    <t>nix</t>
  </si>
  <si>
    <t>jcorko_</t>
  </si>
  <si>
    <t>martinciriook</t>
  </si>
  <si>
    <t>Resident Evil 4</t>
  </si>
  <si>
    <t>twitchrivals</t>
  </si>
  <si>
    <t>runthefutmarket</t>
  </si>
  <si>
    <t>FIFA 19</t>
  </si>
  <si>
    <t>FIFA 20</t>
  </si>
  <si>
    <t>rebeudeter</t>
  </si>
  <si>
    <t>aussieantics</t>
  </si>
  <si>
    <t>Sea of Thieves</t>
  </si>
  <si>
    <t>guacamolemolly</t>
  </si>
  <si>
    <t>jinnytty</t>
  </si>
  <si>
    <t>pgl_dota2en2</t>
  </si>
  <si>
    <t>hutchmf</t>
  </si>
  <si>
    <t>thegrefg</t>
  </si>
  <si>
    <t>auziomf</t>
  </si>
  <si>
    <t>giggand</t>
  </si>
  <si>
    <t>josedeodo</t>
  </si>
  <si>
    <t>mira</t>
  </si>
  <si>
    <t>Pools Hot Tubs and Beaches</t>
  </si>
  <si>
    <t>dangerlyoha</t>
  </si>
  <si>
    <t>zentreya</t>
  </si>
  <si>
    <t>VRChat</t>
  </si>
  <si>
    <t>stariy_bog</t>
  </si>
  <si>
    <t>kyedae</t>
  </si>
  <si>
    <t>extraemily</t>
  </si>
  <si>
    <t>Super Mario Odyssey</t>
  </si>
  <si>
    <t>brawlhalla</t>
  </si>
  <si>
    <t>Brawlhalla</t>
  </si>
  <si>
    <t>Clone Hero</t>
  </si>
  <si>
    <t>akamikarubi</t>
  </si>
  <si>
    <t>bbbb87</t>
  </si>
  <si>
    <t>dota2_paragon_ru2</t>
  </si>
  <si>
    <t>spiukbs</t>
  </si>
  <si>
    <t>esl_dota2storm</t>
  </si>
  <si>
    <t>pokimane</t>
  </si>
  <si>
    <t>jolavanille</t>
  </si>
  <si>
    <t>vinesauce</t>
  </si>
  <si>
    <t>Games + Demos</t>
  </si>
  <si>
    <t>Trash</t>
  </si>
  <si>
    <t>strogo1337</t>
  </si>
  <si>
    <t>yoda</t>
  </si>
  <si>
    <t>bastighg</t>
  </si>
  <si>
    <t>mistermv</t>
  </si>
  <si>
    <t>bkinho</t>
  </si>
  <si>
    <t>otzdarva</t>
  </si>
  <si>
    <t>Dead by Daylight</t>
  </si>
  <si>
    <t>DARK SOULS II: Scholar of the First Sin</t>
  </si>
  <si>
    <t>elzeein</t>
  </si>
  <si>
    <t>setsuko</t>
  </si>
  <si>
    <t>woohankyung</t>
  </si>
  <si>
    <t>Korean</t>
  </si>
  <si>
    <t>steel</t>
  </si>
  <si>
    <t>etoiles</t>
  </si>
  <si>
    <t>finalfantasyxiv</t>
  </si>
  <si>
    <t>FINAL FANTASY XIV ONLINE</t>
  </si>
  <si>
    <t>Final Fantasy XIV: Heavensward</t>
  </si>
  <si>
    <t>dougdoug</t>
  </si>
  <si>
    <t>gerardromero</t>
  </si>
  <si>
    <t>yuyuta0702</t>
  </si>
  <si>
    <t>Yu-Gi-Oh! Master Duel</t>
  </si>
  <si>
    <t>duke</t>
  </si>
  <si>
    <t>NBA 2K19</t>
  </si>
  <si>
    <t>meikodrj</t>
  </si>
  <si>
    <t>lacobraaa</t>
  </si>
  <si>
    <t>fanum</t>
  </si>
  <si>
    <t>franio</t>
  </si>
  <si>
    <t>henyathegenius</t>
  </si>
  <si>
    <t>tikyjr</t>
  </si>
  <si>
    <t>bonjwa</t>
  </si>
  <si>
    <t>jordan_semih</t>
  </si>
  <si>
    <t>pobelter</t>
  </si>
  <si>
    <t>valorant_br</t>
  </si>
  <si>
    <t>mobilmobil</t>
  </si>
  <si>
    <t>izakooo</t>
  </si>
  <si>
    <t>never_loses</t>
  </si>
  <si>
    <t>oestagiario</t>
  </si>
  <si>
    <t>staiy</t>
  </si>
  <si>
    <t>akademiks</t>
  </si>
  <si>
    <t>NBA 2K17</t>
  </si>
  <si>
    <t>cct_cs</t>
  </si>
  <si>
    <t>watsondoto</t>
  </si>
  <si>
    <t>warframeinternational</t>
  </si>
  <si>
    <t>pqueen</t>
  </si>
  <si>
    <t>ninja</t>
  </si>
  <si>
    <t>distortion2</t>
  </si>
  <si>
    <t>DARK SOULS III</t>
  </si>
  <si>
    <t>betboom_cs_a</t>
  </si>
  <si>
    <t>koreshzy</t>
  </si>
  <si>
    <t>ilrossopiubelloditwitch</t>
  </si>
  <si>
    <t>michou</t>
  </si>
  <si>
    <t>banda_chosuke</t>
  </si>
  <si>
    <t>filian</t>
  </si>
  <si>
    <t>ramzes</t>
  </si>
  <si>
    <t>The Dark Pictures Anthology: Little Hope</t>
  </si>
  <si>
    <t>barbarousking</t>
  </si>
  <si>
    <t>Super Mario World</t>
  </si>
  <si>
    <t>Super Mario Maker</t>
  </si>
  <si>
    <t>t2x2</t>
  </si>
  <si>
    <t>diario_as</t>
  </si>
  <si>
    <t>renatko</t>
  </si>
  <si>
    <t>chatterbox</t>
  </si>
  <si>
    <t>Left 4 Dead 2</t>
  </si>
  <si>
    <t>chess</t>
  </si>
  <si>
    <t>Chess (5)</t>
  </si>
  <si>
    <t>admiralbahroo</t>
  </si>
  <si>
    <t>They Are Billions</t>
  </si>
  <si>
    <t>xrohat</t>
  </si>
  <si>
    <t>vedal987</t>
  </si>
  <si>
    <t>osu!</t>
  </si>
  <si>
    <t>roier</t>
  </si>
  <si>
    <t>doigby</t>
  </si>
  <si>
    <t>att</t>
  </si>
  <si>
    <t>skermz</t>
  </si>
  <si>
    <t>samueletienne</t>
  </si>
  <si>
    <t>haitani0904</t>
  </si>
  <si>
    <t>Street Fighter V</t>
  </si>
  <si>
    <t>telefe</t>
  </si>
  <si>
    <t>Watch TV</t>
  </si>
  <si>
    <t>imorr</t>
  </si>
  <si>
    <t>Counter-Strike 2 Limited Test</t>
  </si>
  <si>
    <t>dariomocciatwitch</t>
  </si>
  <si>
    <t>lilsimsie</t>
  </si>
  <si>
    <t>The Sims 4</t>
  </si>
  <si>
    <t>Animal Crossing: New Horizons</t>
  </si>
  <si>
    <t>penta</t>
  </si>
  <si>
    <t>nikolarn</t>
  </si>
  <si>
    <t>supertf</t>
  </si>
  <si>
    <t>realzbluewater</t>
  </si>
  <si>
    <t>lightturnip</t>
  </si>
  <si>
    <t>MORDHAU</t>
  </si>
  <si>
    <t>hiswattson</t>
  </si>
  <si>
    <t>glorious_e</t>
  </si>
  <si>
    <t>michimochievee</t>
  </si>
  <si>
    <t>kmsenkangoo</t>
  </si>
  <si>
    <t>yaritaiji</t>
  </si>
  <si>
    <t>imaqtpie</t>
  </si>
  <si>
    <t>deepins02</t>
  </si>
  <si>
    <t>ROBLOX</t>
  </si>
  <si>
    <t>mazellovvv</t>
  </si>
  <si>
    <t>faide</t>
  </si>
  <si>
    <t>DayZ</t>
  </si>
  <si>
    <t>akarindao</t>
  </si>
  <si>
    <t>4head</t>
  </si>
  <si>
    <t>keznit1</t>
  </si>
  <si>
    <t>pestily</t>
  </si>
  <si>
    <t>gafallen</t>
  </si>
  <si>
    <t>chilledchaos</t>
  </si>
  <si>
    <t>Jackbox Party Packs</t>
  </si>
  <si>
    <t>abugoku9999</t>
  </si>
  <si>
    <t>agustinunaplay8</t>
  </si>
  <si>
    <t>Lethal Company</t>
  </si>
  <si>
    <t>just_ns</t>
  </si>
  <si>
    <t>tubbo</t>
  </si>
  <si>
    <t>kickeresport</t>
  </si>
  <si>
    <t>mande</t>
  </si>
  <si>
    <t>skyyart</t>
  </si>
  <si>
    <t>lla</t>
  </si>
  <si>
    <t>quicksoooooo</t>
  </si>
  <si>
    <t>kussia88</t>
  </si>
  <si>
    <t>cr_arisakaaa</t>
  </si>
  <si>
    <t>im_mittiii</t>
  </si>
  <si>
    <t>missmikkaa</t>
  </si>
  <si>
    <t>des0ut</t>
  </si>
  <si>
    <t>grendy</t>
  </si>
  <si>
    <t>minerva</t>
  </si>
  <si>
    <t>universoreality_cl</t>
  </si>
  <si>
    <t>nissaxter</t>
  </si>
  <si>
    <t>shuteye_orange</t>
  </si>
  <si>
    <t>perxitaa</t>
  </si>
  <si>
    <t>jokerdtv</t>
  </si>
  <si>
    <t>laligafcpro</t>
  </si>
  <si>
    <t>xcry</t>
  </si>
  <si>
    <t>pequenocabelo</t>
  </si>
  <si>
    <t>dantes</t>
  </si>
  <si>
    <t>willneff</t>
  </si>
  <si>
    <t>voodoosh</t>
  </si>
  <si>
    <t>Heroes of Might and Magic III: The Restoration of Erathia</t>
  </si>
  <si>
    <t>Heroes of Might and Magic III: The Shadow of Death</t>
  </si>
  <si>
    <t>gronkhtv</t>
  </si>
  <si>
    <t>drututt</t>
  </si>
  <si>
    <t>manuuxo</t>
  </si>
  <si>
    <t>nadeshot</t>
  </si>
  <si>
    <t>sasavot</t>
  </si>
  <si>
    <t>spkclb</t>
  </si>
  <si>
    <t>alfrea</t>
  </si>
  <si>
    <t>broxah</t>
  </si>
  <si>
    <t>Call of Dragons</t>
  </si>
  <si>
    <t>sacy</t>
  </si>
  <si>
    <t>oceaneamsler</t>
  </si>
  <si>
    <t>Outlast</t>
  </si>
  <si>
    <t>ren_kisaragi__</t>
  </si>
  <si>
    <t>moistcr1tikal</t>
  </si>
  <si>
    <t>Super Smash Bros. Ultimate</t>
  </si>
  <si>
    <t>ravanha69</t>
  </si>
  <si>
    <t>boxbox</t>
  </si>
  <si>
    <t>carreraaa</t>
  </si>
  <si>
    <t>evojapan02</t>
  </si>
  <si>
    <t>39daph</t>
  </si>
  <si>
    <t>Art</t>
  </si>
  <si>
    <t>robcdee</t>
  </si>
  <si>
    <t>emongg</t>
  </si>
  <si>
    <t>evojapan01</t>
  </si>
  <si>
    <t>Guilty Gear Xrd: Rev 2</t>
  </si>
  <si>
    <t>moe_iori</t>
  </si>
  <si>
    <t>crazyraccoonyy</t>
  </si>
  <si>
    <t>vysotzky</t>
  </si>
  <si>
    <t>naru0419045</t>
  </si>
  <si>
    <t>aquino</t>
  </si>
  <si>
    <t>amouranth</t>
  </si>
  <si>
    <t>theneedledrop</t>
  </si>
  <si>
    <t>zoomaa</t>
  </si>
  <si>
    <t>Call of Duty: Modern Warfare II</t>
  </si>
  <si>
    <t>Call of Duty: Black Ops Cold War</t>
  </si>
  <si>
    <t>aldo_geo</t>
  </si>
  <si>
    <t>sanninshow_3ns</t>
  </si>
  <si>
    <t>jingggxd</t>
  </si>
  <si>
    <t>THE FINALS</t>
  </si>
  <si>
    <t>batora324</t>
  </si>
  <si>
    <t>Super Mario 64</t>
  </si>
  <si>
    <t>rezonfn</t>
  </si>
  <si>
    <t>luminositygaming</t>
  </si>
  <si>
    <t>dasmehdi</t>
  </si>
  <si>
    <t>Arma 3</t>
  </si>
  <si>
    <t>rdulive</t>
  </si>
  <si>
    <t>Fall Guys</t>
  </si>
  <si>
    <t>masondota2</t>
  </si>
  <si>
    <t>symfuhny</t>
  </si>
  <si>
    <t>mckytv</t>
  </si>
  <si>
    <t>insym</t>
  </si>
  <si>
    <t>Phasmophobia</t>
  </si>
  <si>
    <t>Welcome to the Game II</t>
  </si>
  <si>
    <t>vei</t>
  </si>
  <si>
    <t>peterbot</t>
  </si>
  <si>
    <t>oniyadayo</t>
  </si>
  <si>
    <t>quickybaby</t>
  </si>
  <si>
    <t>tfblade</t>
  </si>
  <si>
    <t>smallant</t>
  </si>
  <si>
    <t>asianbunnyx</t>
  </si>
  <si>
    <t>zrush</t>
  </si>
  <si>
    <t>amar</t>
  </si>
  <si>
    <t>kyle</t>
  </si>
  <si>
    <t>ow_uruca</t>
  </si>
  <si>
    <t>ijenz</t>
  </si>
  <si>
    <t>ASMR</t>
  </si>
  <si>
    <t>hudson_jw</t>
  </si>
  <si>
    <t>stompgoat</t>
  </si>
  <si>
    <t>ratirl</t>
  </si>
  <si>
    <t>elded</t>
  </si>
  <si>
    <t>neexcsgo</t>
  </si>
  <si>
    <t>dota2_paragon_ru3</t>
  </si>
  <si>
    <t>kitboga</t>
  </si>
  <si>
    <t>c0ker</t>
  </si>
  <si>
    <t>flats</t>
  </si>
  <si>
    <t>gutitubo</t>
  </si>
  <si>
    <t>crystalmolly</t>
  </si>
  <si>
    <t>chowh1</t>
  </si>
  <si>
    <t>Z1: Battle Royale</t>
  </si>
  <si>
    <t>absoluttlol</t>
  </si>
  <si>
    <t>mertabimula</t>
  </si>
  <si>
    <t>foolish</t>
  </si>
  <si>
    <t>im_dontai</t>
  </si>
  <si>
    <t>gu_zk</t>
  </si>
  <si>
    <t>alexelcapo</t>
  </si>
  <si>
    <t>serega_pirat</t>
  </si>
  <si>
    <t>nobruxyn</t>
  </si>
  <si>
    <t>zy0xxx</t>
  </si>
  <si>
    <t>Honkai: Star Rail</t>
  </si>
  <si>
    <t>skylinetvlive</t>
  </si>
  <si>
    <t>lex_official_casino</t>
  </si>
  <si>
    <t>Casino</t>
  </si>
  <si>
    <t>xthesolutiontv</t>
  </si>
  <si>
    <t>c_a_k_e</t>
  </si>
  <si>
    <t>Warcraft III</t>
  </si>
  <si>
    <t>grenbaud</t>
  </si>
  <si>
    <t>tomateking</t>
  </si>
  <si>
    <t>alveussanctuary</t>
  </si>
  <si>
    <t>Animals Aquariums and Zoos</t>
  </si>
  <si>
    <t>fugu_fps</t>
  </si>
  <si>
    <t>rocketbaguette</t>
  </si>
  <si>
    <t>Rocket League Sideswipe</t>
  </si>
  <si>
    <t>brothers_baseball</t>
  </si>
  <si>
    <t>Fitness &amp; Health</t>
  </si>
  <si>
    <t>iwdominate</t>
  </si>
  <si>
    <t>godjj</t>
  </si>
  <si>
    <t>rybsonlol_</t>
  </si>
  <si>
    <t>dkayed</t>
  </si>
  <si>
    <t>Yu-Gi-Oh! Duel Links</t>
  </si>
  <si>
    <t>teamredline</t>
  </si>
  <si>
    <t>iRacing</t>
  </si>
  <si>
    <t>ml7support</t>
  </si>
  <si>
    <t>scrapie</t>
  </si>
  <si>
    <t>97zoner</t>
  </si>
  <si>
    <t>coreano</t>
  </si>
  <si>
    <t>daigothebeastv</t>
  </si>
  <si>
    <t>adolfz</t>
  </si>
  <si>
    <t>FIFA 18</t>
  </si>
  <si>
    <t>valorant_fr</t>
  </si>
  <si>
    <t>smoke</t>
  </si>
  <si>
    <t>bichouu_</t>
  </si>
  <si>
    <t>obormentv</t>
  </si>
  <si>
    <t>diazbiffle</t>
  </si>
  <si>
    <t>xaryu</t>
  </si>
  <si>
    <t>New World</t>
  </si>
  <si>
    <t>qojqva</t>
  </si>
  <si>
    <t>jutysel</t>
  </si>
  <si>
    <t>symbiolive</t>
  </si>
  <si>
    <t>Garena Free Fire</t>
  </si>
  <si>
    <t>disguisedtoast</t>
  </si>
  <si>
    <t>aspen</t>
  </si>
  <si>
    <t>suetam1v4</t>
  </si>
  <si>
    <t>sidneyeweka</t>
  </si>
  <si>
    <t>oldschoolrs</t>
  </si>
  <si>
    <t>Old School RuneScape</t>
  </si>
  <si>
    <t>RuneScape</t>
  </si>
  <si>
    <t>sardoche</t>
  </si>
  <si>
    <t>sinatraa</t>
  </si>
  <si>
    <t>niklaswilson</t>
  </si>
  <si>
    <t>spygea</t>
  </si>
  <si>
    <t>erobb221</t>
  </si>
  <si>
    <t>pokelawls</t>
  </si>
  <si>
    <t>hennie2001</t>
  </si>
  <si>
    <t>shinjifromjapanxd</t>
  </si>
  <si>
    <t>miniminter</t>
  </si>
  <si>
    <t>saadhak</t>
  </si>
  <si>
    <t>Paladins</t>
  </si>
  <si>
    <t>nickmercs</t>
  </si>
  <si>
    <t>tekken</t>
  </si>
  <si>
    <t>Tekken 7: Fated Retribution</t>
  </si>
  <si>
    <t>sliggytv</t>
  </si>
  <si>
    <t>gingitv</t>
  </si>
  <si>
    <t>myrajusa</t>
  </si>
  <si>
    <t>warthunder_esports</t>
  </si>
  <si>
    <t>War Thunder</t>
  </si>
  <si>
    <t>ayellol</t>
  </si>
  <si>
    <t>mongraal</t>
  </si>
  <si>
    <t>ydosyc</t>
  </si>
  <si>
    <t>lydiaviolet</t>
  </si>
  <si>
    <t>pubg_battlegrounds</t>
  </si>
  <si>
    <t>NEW STATE MOBILE</t>
  </si>
  <si>
    <t>rubenmartinweb</t>
  </si>
  <si>
    <t>edwin_live</t>
  </si>
  <si>
    <t>Thai</t>
  </si>
  <si>
    <t>the_happy_hob</t>
  </si>
  <si>
    <t>prxf0rsaken</t>
  </si>
  <si>
    <t>melharucos</t>
  </si>
  <si>
    <t>byilhann</t>
  </si>
  <si>
    <t>shylily</t>
  </si>
  <si>
    <t>sajam</t>
  </si>
  <si>
    <t>honeypuu</t>
  </si>
  <si>
    <t>dvm_medja</t>
  </si>
  <si>
    <t>japanesekoreanug</t>
  </si>
  <si>
    <t>drakeoffc</t>
  </si>
  <si>
    <t>philza</t>
  </si>
  <si>
    <t>deqiuv</t>
  </si>
  <si>
    <t>tomato</t>
  </si>
  <si>
    <t>S.T.A.L.K.E.R.: Call of Pripyat</t>
  </si>
  <si>
    <t>emeamasters</t>
  </si>
  <si>
    <t>ronnyberger</t>
  </si>
  <si>
    <t>revenant</t>
  </si>
  <si>
    <t>ecusobe</t>
  </si>
  <si>
    <t>cs2_paragon_ru</t>
  </si>
  <si>
    <t>mortdog</t>
  </si>
  <si>
    <t>Chrono Trigger</t>
  </si>
  <si>
    <t>buxexa_v</t>
  </si>
  <si>
    <t>gssspotted</t>
  </si>
  <si>
    <t>dogdog</t>
  </si>
  <si>
    <t>kyootbot</t>
  </si>
  <si>
    <t>lxrygirltv</t>
  </si>
  <si>
    <t>w0n23</t>
  </si>
  <si>
    <t>Albion Online</t>
  </si>
  <si>
    <t>Lost Ark</t>
  </si>
  <si>
    <t>ponce</t>
  </si>
  <si>
    <t>shisheyu</t>
  </si>
  <si>
    <t>xop0</t>
  </si>
  <si>
    <t>blackufa</t>
  </si>
  <si>
    <t>yoon_froggy</t>
  </si>
  <si>
    <t>shotzzy</t>
  </si>
  <si>
    <t>Halo 5: Guardians</t>
  </si>
  <si>
    <t>morphe_ya</t>
  </si>
  <si>
    <t>helydia</t>
  </si>
  <si>
    <t>pietsmiet</t>
  </si>
  <si>
    <t>criticalrole</t>
  </si>
  <si>
    <t>Dungeons &amp; Dragons</t>
  </si>
  <si>
    <t>rainbow6bravo</t>
  </si>
  <si>
    <t>ryluva</t>
  </si>
  <si>
    <t>healthygamer_gg</t>
  </si>
  <si>
    <t>baitybait</t>
  </si>
  <si>
    <t>hitsquadgodfather</t>
  </si>
  <si>
    <t>elchiringuitotv</t>
  </si>
  <si>
    <t>zerospoker</t>
  </si>
  <si>
    <t>frg_ox</t>
  </si>
  <si>
    <t>danila_gorilla</t>
  </si>
  <si>
    <t>golaniyule0</t>
  </si>
  <si>
    <t>lol_nemesis</t>
  </si>
  <si>
    <t>fifakillvizualz</t>
  </si>
  <si>
    <t>mohaguvy</t>
  </si>
  <si>
    <t>buxexa_px</t>
  </si>
  <si>
    <t>rebirthztv</t>
  </si>
  <si>
    <t>shanks_ttv</t>
  </si>
  <si>
    <t>metashi12</t>
  </si>
  <si>
    <t>zakvielchannel</t>
  </si>
  <si>
    <t>calcioberlin</t>
  </si>
  <si>
    <t>nl_kripp</t>
  </si>
  <si>
    <t>oatley</t>
  </si>
  <si>
    <t>ufyzehug</t>
  </si>
  <si>
    <t>luxurygirl_p</t>
  </si>
  <si>
    <t>wdgjapan_ow</t>
  </si>
  <si>
    <t>syztmyx</t>
  </si>
  <si>
    <t>tororo_vtuber</t>
  </si>
  <si>
    <t>cblol</t>
  </si>
  <si>
    <t>avyget</t>
  </si>
  <si>
    <t>jackeyy</t>
  </si>
  <si>
    <t>Red Dead Redemption 2</t>
  </si>
  <si>
    <t>laculebi</t>
  </si>
  <si>
    <t>nobru_xyn</t>
  </si>
  <si>
    <t>mago2dgod</t>
  </si>
  <si>
    <t>lvpes</t>
  </si>
  <si>
    <t>2okos</t>
  </si>
  <si>
    <t>Hungarian</t>
  </si>
  <si>
    <t>deusamir</t>
  </si>
  <si>
    <t>jankos</t>
  </si>
  <si>
    <t>welovegames</t>
  </si>
  <si>
    <t>squeex</t>
  </si>
  <si>
    <t>n3koglai</t>
  </si>
  <si>
    <t>avoidingthepuddle</t>
  </si>
  <si>
    <t>yukiofps14</t>
  </si>
  <si>
    <t>rainelissss</t>
  </si>
  <si>
    <t>teepee</t>
  </si>
  <si>
    <t>syztmy</t>
  </si>
  <si>
    <t>mattp1tommy</t>
  </si>
  <si>
    <t>kamito_jp</t>
  </si>
  <si>
    <t>nervarien</t>
  </si>
  <si>
    <t>eamaddennfl</t>
  </si>
  <si>
    <t>Madden NFL 21</t>
  </si>
  <si>
    <t>Madden NFL 20</t>
  </si>
  <si>
    <t>kubafps</t>
  </si>
  <si>
    <t>brtt</t>
  </si>
  <si>
    <t>singsing</t>
  </si>
  <si>
    <t>mokouliszt1</t>
  </si>
  <si>
    <t>Shadowverse</t>
  </si>
  <si>
    <t>tangotek</t>
  </si>
  <si>
    <t>silky</t>
  </si>
  <si>
    <t>redbullbatalla</t>
  </si>
  <si>
    <t>canalquickie</t>
  </si>
  <si>
    <t>blusewilly_retry</t>
  </si>
  <si>
    <t>joe_bartolozzi</t>
  </si>
  <si>
    <t>ekylimy</t>
  </si>
  <si>
    <t>zwebackhd</t>
  </si>
  <si>
    <t>quarterjade</t>
  </si>
  <si>
    <t>light_starboy</t>
  </si>
  <si>
    <t>axozer</t>
  </si>
  <si>
    <t>lars_tm</t>
  </si>
  <si>
    <t>shlorox</t>
  </si>
  <si>
    <t>kr1stw</t>
  </si>
  <si>
    <t>ewroon</t>
  </si>
  <si>
    <t>valorant_la</t>
  </si>
  <si>
    <t>agraelus</t>
  </si>
  <si>
    <t>Czech</t>
  </si>
  <si>
    <t>yamatosdeath</t>
  </si>
  <si>
    <t>peintooon</t>
  </si>
  <si>
    <t>razah</t>
  </si>
  <si>
    <t>maximum</t>
  </si>
  <si>
    <t>smthlikeyou11</t>
  </si>
  <si>
    <t>nisqyy</t>
  </si>
  <si>
    <t>mrdzinold</t>
  </si>
  <si>
    <t>lysium</t>
  </si>
  <si>
    <t>Dauntless</t>
  </si>
  <si>
    <t>zekken</t>
  </si>
  <si>
    <t>Super Smash Bros. Melee</t>
  </si>
  <si>
    <t>gytoxydo</t>
  </si>
  <si>
    <t>iitztimmy</t>
  </si>
  <si>
    <t>buxexa_e</t>
  </si>
  <si>
    <t>derajn</t>
  </si>
  <si>
    <t>Marvel Snap</t>
  </si>
  <si>
    <t>zegociv</t>
  </si>
  <si>
    <t>dhalucard</t>
  </si>
  <si>
    <t>bananirou</t>
  </si>
  <si>
    <t>Grand Theft Auto: San Andreas</t>
  </si>
  <si>
    <t>olgaenvivo</t>
  </si>
  <si>
    <t>elglogloking</t>
  </si>
  <si>
    <t>putupau</t>
  </si>
  <si>
    <t>klean</t>
  </si>
  <si>
    <t>Project Zomboid</t>
  </si>
  <si>
    <t>iateyourpie</t>
  </si>
  <si>
    <t>Pokemon FireRed/LeafGreen</t>
  </si>
  <si>
    <t>Mafia.gg</t>
  </si>
  <si>
    <t>liminhag0d</t>
  </si>
  <si>
    <t>sneakylol</t>
  </si>
  <si>
    <t>gmhikaru</t>
  </si>
  <si>
    <t>Chess (4)</t>
  </si>
  <si>
    <t>snopey_</t>
  </si>
  <si>
    <t>goodtimeswithscar</t>
  </si>
  <si>
    <t>fl0m</t>
  </si>
  <si>
    <t>lamc</t>
  </si>
  <si>
    <t>strippin</t>
  </si>
  <si>
    <t>For Honor</t>
  </si>
  <si>
    <t>hudson_om</t>
  </si>
  <si>
    <t>by_owl</t>
  </si>
  <si>
    <t>begizo</t>
  </si>
  <si>
    <t>lynxcerezlol</t>
  </si>
  <si>
    <t>midbeast</t>
  </si>
  <si>
    <t>derzko69</t>
  </si>
  <si>
    <t>jidionpremium</t>
  </si>
  <si>
    <t>emilyywang</t>
  </si>
  <si>
    <t>jeanmassiet</t>
  </si>
  <si>
    <t>dracon</t>
  </si>
  <si>
    <t>helin139</t>
  </si>
  <si>
    <t>thedandangler</t>
  </si>
  <si>
    <t>matarakan</t>
  </si>
  <si>
    <t>HELLDIVERS 2</t>
  </si>
  <si>
    <t>iamcristinini</t>
  </si>
  <si>
    <t>footballbromance</t>
  </si>
  <si>
    <t>jukes</t>
  </si>
  <si>
    <t>rockykramer</t>
  </si>
  <si>
    <t>Assassin's Creed Valhalla</t>
  </si>
  <si>
    <t>brokybrawkstv</t>
  </si>
  <si>
    <t>skill4ltu</t>
  </si>
  <si>
    <t>xarola_</t>
  </si>
  <si>
    <t>traytonlol</t>
  </si>
  <si>
    <t>meduska</t>
  </si>
  <si>
    <t>ferretsoftware</t>
  </si>
  <si>
    <t>willerz</t>
  </si>
  <si>
    <t>datmodz</t>
  </si>
  <si>
    <t>altair</t>
  </si>
  <si>
    <t>vymago</t>
  </si>
  <si>
    <t>kxpture</t>
  </si>
  <si>
    <t>titanlol1</t>
  </si>
  <si>
    <t>maxim</t>
  </si>
  <si>
    <t>malchugov</t>
  </si>
  <si>
    <t>edizderbreite</t>
  </si>
  <si>
    <t>dz7baile</t>
  </si>
  <si>
    <t>wudijo</t>
  </si>
  <si>
    <t>Diablo III</t>
  </si>
  <si>
    <t>Diablo IV</t>
  </si>
  <si>
    <t>dota2_maincast</t>
  </si>
  <si>
    <t>popo</t>
  </si>
  <si>
    <t>itsspoit</t>
  </si>
  <si>
    <t>staryuuki</t>
  </si>
  <si>
    <t>Food &amp; Drink</t>
  </si>
  <si>
    <t>controcalcio__</t>
  </si>
  <si>
    <t>alderiate</t>
  </si>
  <si>
    <t>trebor</t>
  </si>
  <si>
    <t>juanicar_</t>
  </si>
  <si>
    <t>axtlol</t>
  </si>
  <si>
    <t>gcxevent</t>
  </si>
  <si>
    <t>imls</t>
  </si>
  <si>
    <t>poinemaia</t>
  </si>
  <si>
    <t>Knight Online</t>
  </si>
  <si>
    <t>Rise Online</t>
  </si>
  <si>
    <t>cs2_maincast</t>
  </si>
  <si>
    <t>vatira_</t>
  </si>
  <si>
    <t>yoshinama222</t>
  </si>
  <si>
    <t>kaysan</t>
  </si>
  <si>
    <t>buxexa_y</t>
  </si>
  <si>
    <t>papesan</t>
  </si>
  <si>
    <t>paivinha29</t>
  </si>
  <si>
    <t>cinna</t>
  </si>
  <si>
    <t>alphasniper97</t>
  </si>
  <si>
    <t>guanweiboy</t>
  </si>
  <si>
    <t>qusazytu</t>
  </si>
  <si>
    <t>buxexa_l</t>
  </si>
  <si>
    <t>alphacast</t>
  </si>
  <si>
    <t>elwycco</t>
  </si>
  <si>
    <t>Space Station 13</t>
  </si>
  <si>
    <t>silvervale</t>
  </si>
  <si>
    <t>Black Desert</t>
  </si>
  <si>
    <t>ilame</t>
  </si>
  <si>
    <t>impulsesv</t>
  </si>
  <si>
    <t>france_tv_slash</t>
  </si>
  <si>
    <t>burkeblack</t>
  </si>
  <si>
    <t>Star Citizen</t>
  </si>
  <si>
    <t>kspksp</t>
  </si>
  <si>
    <t>qudegam</t>
  </si>
  <si>
    <t>qttsix</t>
  </si>
  <si>
    <t>santutu</t>
  </si>
  <si>
    <t>stintik</t>
  </si>
  <si>
    <t>tonton</t>
  </si>
  <si>
    <t>llunaclark</t>
  </si>
  <si>
    <t>rezreel</t>
  </si>
  <si>
    <t>frg_ix</t>
  </si>
  <si>
    <t>dep_ow</t>
  </si>
  <si>
    <t>hudson_jk</t>
  </si>
  <si>
    <t>grubby</t>
  </si>
  <si>
    <t>Heroes of the Storm</t>
  </si>
  <si>
    <t>oslo</t>
  </si>
  <si>
    <t>unicornio</t>
  </si>
  <si>
    <t>cr_rion</t>
  </si>
  <si>
    <t>asiagodtonegg3be0</t>
  </si>
  <si>
    <t>uzra</t>
  </si>
  <si>
    <t>ybicanoooobov</t>
  </si>
  <si>
    <t>Heroes Arena</t>
  </si>
  <si>
    <t>ta1yo_tv</t>
  </si>
  <si>
    <t>shxtou</t>
  </si>
  <si>
    <t>towelliee</t>
  </si>
  <si>
    <t>kenki521</t>
  </si>
  <si>
    <t>gtasty</t>
  </si>
  <si>
    <t>vgbootcamp</t>
  </si>
  <si>
    <t>skipnho</t>
  </si>
  <si>
    <t>morgpie</t>
  </si>
  <si>
    <t>dmf_kyochan</t>
  </si>
  <si>
    <t>ARK: Survival Evolved</t>
  </si>
  <si>
    <t>cyr</t>
  </si>
  <si>
    <t>stankrat</t>
  </si>
  <si>
    <t>5opka</t>
  </si>
  <si>
    <t>haiset</t>
  </si>
  <si>
    <t>mithrain</t>
  </si>
  <si>
    <t>huahed</t>
  </si>
  <si>
    <t>ikoma_dogura</t>
  </si>
  <si>
    <t>gothamchess</t>
  </si>
  <si>
    <t>franciscoow</t>
  </si>
  <si>
    <t>luxurygirl_c</t>
  </si>
  <si>
    <t>potatozytb</t>
  </si>
  <si>
    <t>girlsluxury</t>
  </si>
  <si>
    <t>agustabell212</t>
  </si>
  <si>
    <t>fibii</t>
  </si>
  <si>
    <t>sinder</t>
  </si>
  <si>
    <t>luxurygirl_g</t>
  </si>
  <si>
    <t>nobruxyx</t>
  </si>
  <si>
    <t>frttt</t>
  </si>
  <si>
    <t>buxexa_p</t>
  </si>
  <si>
    <t>rush</t>
  </si>
  <si>
    <t>worldofwarships</t>
  </si>
  <si>
    <t>World of Warships</t>
  </si>
  <si>
    <t>World of Warships: Legends</t>
  </si>
  <si>
    <t>letshugotv</t>
  </si>
  <si>
    <t>demon1</t>
  </si>
  <si>
    <t>Unreal Tournament</t>
  </si>
  <si>
    <t>nadia</t>
  </si>
  <si>
    <t>bepofani</t>
  </si>
  <si>
    <t>universoreality_br</t>
  </si>
  <si>
    <t>alpharad</t>
  </si>
  <si>
    <t>Pokemon Pinball</t>
  </si>
  <si>
    <t>Pokemon Scarlet/Violet</t>
  </si>
  <si>
    <t>doktorfroid</t>
  </si>
  <si>
    <t>bobbypoffgaming</t>
  </si>
  <si>
    <t>dannyaarons</t>
  </si>
  <si>
    <t>orkpod</t>
  </si>
  <si>
    <t>Dread Hunger</t>
  </si>
  <si>
    <t>dafran</t>
  </si>
  <si>
    <t>dishsoap</t>
  </si>
  <si>
    <t>Slay the Spire</t>
  </si>
  <si>
    <t>zanoxvii</t>
  </si>
  <si>
    <t>rob2628</t>
  </si>
  <si>
    <t>luxurygirl_y</t>
  </si>
  <si>
    <t>thejrm_</t>
  </si>
  <si>
    <t>The Texas Chain Saw Massacre</t>
  </si>
  <si>
    <t>esportsu</t>
  </si>
  <si>
    <t>solaryhs</t>
  </si>
  <si>
    <t>Legends of Runeterra</t>
  </si>
  <si>
    <t>vyleja</t>
  </si>
  <si>
    <t>cabramaravilla</t>
  </si>
  <si>
    <t>raxxanterax</t>
  </si>
  <si>
    <t>mym_alkapone</t>
  </si>
  <si>
    <t>tioorochitwitch</t>
  </si>
  <si>
    <t>irissiri129</t>
  </si>
  <si>
    <t>Cantonese</t>
  </si>
  <si>
    <t>mipooshka</t>
  </si>
  <si>
    <t>grimmmz</t>
  </si>
  <si>
    <t>ligue1ubereats</t>
  </si>
  <si>
    <t>mynthos</t>
  </si>
  <si>
    <t>lexveldhuis</t>
  </si>
  <si>
    <t>buxexa_a</t>
  </si>
  <si>
    <t>danyetraz</t>
  </si>
  <si>
    <t>gorilon</t>
  </si>
  <si>
    <t>evojapan03</t>
  </si>
  <si>
    <t>Guilty Gear: Strive</t>
  </si>
  <si>
    <t>faiar</t>
  </si>
  <si>
    <t>Romanian</t>
  </si>
  <si>
    <t>rainbow6br</t>
  </si>
  <si>
    <t>deansocool</t>
  </si>
  <si>
    <t>robinsongz</t>
  </si>
  <si>
    <t>bigbossboze</t>
  </si>
  <si>
    <t>jd_onlymusic</t>
  </si>
  <si>
    <t>knebeltv</t>
  </si>
  <si>
    <t>phunkroyal</t>
  </si>
  <si>
    <t>tanzverbot</t>
  </si>
  <si>
    <t>sam1268</t>
  </si>
  <si>
    <t>move_mind</t>
  </si>
  <si>
    <t>skillz0r1337</t>
  </si>
  <si>
    <t>imod</t>
  </si>
  <si>
    <t>Arabic</t>
  </si>
  <si>
    <t>lxrsgirls</t>
  </si>
  <si>
    <t>rickyedit</t>
  </si>
  <si>
    <t>putezice</t>
  </si>
  <si>
    <t>fakturka</t>
  </si>
  <si>
    <t>esb_dota2</t>
  </si>
  <si>
    <t>pizfn</t>
  </si>
  <si>
    <t>clemovitch</t>
  </si>
  <si>
    <t>Politics</t>
  </si>
  <si>
    <t>aydan</t>
  </si>
  <si>
    <t>scurrows</t>
  </si>
  <si>
    <t>tinakitten</t>
  </si>
  <si>
    <t>datto</t>
  </si>
  <si>
    <t>tpabomah</t>
  </si>
  <si>
    <t>Total War: WARHAMMER III</t>
  </si>
  <si>
    <t>burgaofps</t>
  </si>
  <si>
    <t>premiertwo</t>
  </si>
  <si>
    <t>Retro</t>
  </si>
  <si>
    <t>sutanmi</t>
  </si>
  <si>
    <t>limealicious</t>
  </si>
  <si>
    <t>baikincl</t>
  </si>
  <si>
    <t>creamtherabbit</t>
  </si>
  <si>
    <t>akaonikou1207</t>
  </si>
  <si>
    <t>buckefps</t>
  </si>
  <si>
    <t>goncho</t>
  </si>
  <si>
    <t>ennaouii</t>
  </si>
  <si>
    <t>zarbex</t>
  </si>
  <si>
    <t>teegrizzley</t>
  </si>
  <si>
    <t>domenicowaccoo</t>
  </si>
  <si>
    <t>deadlyslob</t>
  </si>
  <si>
    <t>johnqtcs</t>
  </si>
  <si>
    <t>mrpokke</t>
  </si>
  <si>
    <t>tteuw</t>
  </si>
  <si>
    <t>atrioc</t>
  </si>
  <si>
    <t>HITMAN 3</t>
  </si>
  <si>
    <t>abed_dota</t>
  </si>
  <si>
    <t>roxasorg13th</t>
  </si>
  <si>
    <t>juice</t>
  </si>
  <si>
    <t>justcooman</t>
  </si>
  <si>
    <t>bbreadman</t>
  </si>
  <si>
    <t>banduracartel</t>
  </si>
  <si>
    <t>maghla</t>
  </si>
  <si>
    <t>machete_vilches</t>
  </si>
  <si>
    <t>dekkster</t>
  </si>
  <si>
    <t>dunduk</t>
  </si>
  <si>
    <t>Escape from Tarkov: Arena</t>
  </si>
  <si>
    <t>zeling</t>
  </si>
  <si>
    <t>r_k7den</t>
  </si>
  <si>
    <t>gostreamstv1158</t>
  </si>
  <si>
    <t>restiafps</t>
  </si>
  <si>
    <t>low031</t>
  </si>
  <si>
    <t>sick_nerd</t>
  </si>
  <si>
    <t>sharkmacedo</t>
  </si>
  <si>
    <t>nihmune</t>
  </si>
  <si>
    <t>sirmaza</t>
  </si>
  <si>
    <t>simply</t>
  </si>
  <si>
    <t>lilaggy</t>
  </si>
  <si>
    <t>Sekiro: Shadows Die Twice</t>
  </si>
  <si>
    <t>amakipururu</t>
  </si>
  <si>
    <t>tarzaned</t>
  </si>
  <si>
    <t>Pokemon UNITE</t>
  </si>
  <si>
    <t>therunningmanz</t>
  </si>
  <si>
    <t>sequisha</t>
  </si>
  <si>
    <t>mister_m_do_tigrinho</t>
  </si>
  <si>
    <t>qtcinderella</t>
  </si>
  <si>
    <t>playhard</t>
  </si>
  <si>
    <t>jeffhoogland</t>
  </si>
  <si>
    <t>dekarldent</t>
  </si>
  <si>
    <t>lazvell</t>
  </si>
  <si>
    <t>kettuncyukyuhei</t>
  </si>
  <si>
    <t>subroza</t>
  </si>
  <si>
    <t>torontotokyo17</t>
  </si>
  <si>
    <t>agustin51</t>
  </si>
  <si>
    <t>curry</t>
  </si>
  <si>
    <t>9pasha</t>
  </si>
  <si>
    <t>icuvabi</t>
  </si>
  <si>
    <t>flight23white</t>
  </si>
  <si>
    <t>formula1</t>
  </si>
  <si>
    <t>F1 2019</t>
  </si>
  <si>
    <t>F1 22</t>
  </si>
  <si>
    <t>aunkere</t>
  </si>
  <si>
    <t>moonryde</t>
  </si>
  <si>
    <t>s201111</t>
  </si>
  <si>
    <t>agurin</t>
  </si>
  <si>
    <t>ibabyrainbow</t>
  </si>
  <si>
    <t>xari</t>
  </si>
  <si>
    <t>carpentieri</t>
  </si>
  <si>
    <t>akyuliych</t>
  </si>
  <si>
    <t>kkatamina</t>
  </si>
  <si>
    <t>krapycoco</t>
  </si>
  <si>
    <t>fobm4ster</t>
  </si>
  <si>
    <t>terracid</t>
  </si>
  <si>
    <t>solary</t>
  </si>
  <si>
    <t>ade3_3</t>
  </si>
  <si>
    <t>forg1</t>
  </si>
  <si>
    <t>mother3rd</t>
  </si>
  <si>
    <t>xqn_thesad</t>
  </si>
  <si>
    <t>laplusdarknesss_hololive</t>
  </si>
  <si>
    <t>carolinekwan</t>
  </si>
  <si>
    <t>elyihi</t>
  </si>
  <si>
    <t>fer</t>
  </si>
  <si>
    <t>lukisteve</t>
  </si>
  <si>
    <t>silizvlive</t>
  </si>
  <si>
    <t>dashy</t>
  </si>
  <si>
    <t>fanfan</t>
  </si>
  <si>
    <t>omybexul</t>
  </si>
  <si>
    <t>vegetta777</t>
  </si>
  <si>
    <t>terablade</t>
  </si>
  <si>
    <t>hugodelire</t>
  </si>
  <si>
    <t>sypherpk</t>
  </si>
  <si>
    <t>orslok</t>
  </si>
  <si>
    <t>ricoy</t>
  </si>
  <si>
    <t>benjyfishy</t>
  </si>
  <si>
    <t>psp1g</t>
  </si>
  <si>
    <t>rocky_</t>
  </si>
  <si>
    <t>vozipu</t>
  </si>
  <si>
    <t>bawkbasoup</t>
  </si>
  <si>
    <t>Resident Evil 3: Nemesis</t>
  </si>
  <si>
    <t>Resident Evil</t>
  </si>
  <si>
    <t>thijs</t>
  </si>
  <si>
    <t>dansgaming</t>
  </si>
  <si>
    <t>chibidoki</t>
  </si>
  <si>
    <t>bakagaijinlive</t>
  </si>
  <si>
    <t>surefour</t>
  </si>
  <si>
    <t>rtgame</t>
  </si>
  <si>
    <t>Team Fortress 2</t>
  </si>
  <si>
    <t>turuokamonohashi</t>
  </si>
  <si>
    <t>geega</t>
  </si>
  <si>
    <t>luzu_tv</t>
  </si>
  <si>
    <t>boxyfresh</t>
  </si>
  <si>
    <t>nyrepik</t>
  </si>
  <si>
    <t>bao</t>
  </si>
  <si>
    <t>artcsgo</t>
  </si>
  <si>
    <t>hudson_nf</t>
  </si>
  <si>
    <t>onigiri</t>
  </si>
  <si>
    <t>pikabooirl</t>
  </si>
  <si>
    <t>a_seagull</t>
  </si>
  <si>
    <t>anniefuchsia</t>
  </si>
  <si>
    <t>qlnek</t>
  </si>
  <si>
    <t>tototmix</t>
  </si>
  <si>
    <t>et_1231</t>
  </si>
  <si>
    <t>todukori</t>
  </si>
  <si>
    <t>gernaderjake</t>
  </si>
  <si>
    <t>bisejif</t>
  </si>
  <si>
    <t>tvander</t>
  </si>
  <si>
    <t>filow</t>
  </si>
  <si>
    <t>spontent</t>
  </si>
  <si>
    <t>pancadalv</t>
  </si>
  <si>
    <t>themainmanswe</t>
  </si>
  <si>
    <t>versuta</t>
  </si>
  <si>
    <t>crackheber</t>
  </si>
  <si>
    <t>kinggothalion</t>
  </si>
  <si>
    <t>f1nn5ter</t>
  </si>
  <si>
    <t>ray</t>
  </si>
  <si>
    <t>Pokemon Sword/Shield</t>
  </si>
  <si>
    <t>gladd</t>
  </si>
  <si>
    <t>Valheim</t>
  </si>
  <si>
    <t>saruei</t>
  </si>
  <si>
    <t>echo_esports</t>
  </si>
  <si>
    <t>th3antonio</t>
  </si>
  <si>
    <t>jujalag</t>
  </si>
  <si>
    <t>tonyrobbins</t>
  </si>
  <si>
    <t>xhocii</t>
  </si>
  <si>
    <t>arturofernandeztv</t>
  </si>
  <si>
    <t>tamatthi</t>
  </si>
  <si>
    <t>hazardu</t>
  </si>
  <si>
    <t>TrackMania</t>
  </si>
  <si>
    <t>monarch</t>
  </si>
  <si>
    <t>xchocobars</t>
  </si>
  <si>
    <t>marcomerrino</t>
  </si>
  <si>
    <t>jessirocks</t>
  </si>
  <si>
    <t>keshaeuw</t>
  </si>
  <si>
    <t>vukiby</t>
  </si>
  <si>
    <t>ayrun</t>
  </si>
  <si>
    <t>limmy</t>
  </si>
  <si>
    <t>repullze</t>
  </si>
  <si>
    <t>officermesser</t>
  </si>
  <si>
    <t>wakzlol</t>
  </si>
  <si>
    <t>Dark and Darker</t>
  </si>
  <si>
    <t>alinity</t>
  </si>
  <si>
    <t>jay3</t>
  </si>
  <si>
    <t>kaydop</t>
  </si>
  <si>
    <t>gotsukishima</t>
  </si>
  <si>
    <t>makupag</t>
  </si>
  <si>
    <t>chiringuitovivo</t>
  </si>
  <si>
    <t>vetheo</t>
  </si>
  <si>
    <t>Watch Dogs 2</t>
  </si>
  <si>
    <t>buxexa_q</t>
  </si>
  <si>
    <t>scream</t>
  </si>
  <si>
    <t>orangemorange</t>
  </si>
  <si>
    <t>sheefgg</t>
  </si>
  <si>
    <t>hudson_fss</t>
  </si>
  <si>
    <t>annacramling</t>
  </si>
  <si>
    <t>manyrin</t>
  </si>
  <si>
    <t>happyhappygal</t>
  </si>
  <si>
    <t>kumalezo</t>
  </si>
  <si>
    <t>yetz</t>
  </si>
  <si>
    <t>xnapycz</t>
  </si>
  <si>
    <t>julien</t>
  </si>
  <si>
    <t>buxexa_r</t>
  </si>
  <si>
    <t>payo</t>
  </si>
  <si>
    <t>ricci</t>
  </si>
  <si>
    <t>XDefiant</t>
  </si>
  <si>
    <t>relaxcis</t>
  </si>
  <si>
    <t>menostrece</t>
  </si>
  <si>
    <t>sweatcicle</t>
  </si>
  <si>
    <t>mylonzete</t>
  </si>
  <si>
    <t>jaikerumakuson</t>
  </si>
  <si>
    <t>loeya</t>
  </si>
  <si>
    <t>renekreher</t>
  </si>
  <si>
    <t>coolifegame</t>
  </si>
  <si>
    <t>edopeh</t>
  </si>
  <si>
    <t>RimWorld</t>
  </si>
  <si>
    <t>kokujintv</t>
  </si>
  <si>
    <t>lvthalo</t>
  </si>
  <si>
    <t>Halo Infinite</t>
  </si>
  <si>
    <t>lollolacustre</t>
  </si>
  <si>
    <t>thiefs</t>
  </si>
  <si>
    <t>Call of Duty: WWII</t>
  </si>
  <si>
    <t>alexclick</t>
  </si>
  <si>
    <t>el_yuste</t>
  </si>
  <si>
    <t>ko0416</t>
  </si>
  <si>
    <t>ariasaki</t>
  </si>
  <si>
    <t>auslots</t>
  </si>
  <si>
    <t>bunnyayu</t>
  </si>
  <si>
    <t>ai_hongo_</t>
  </si>
  <si>
    <t>slipix</t>
  </si>
  <si>
    <t>gearbaby1010</t>
  </si>
  <si>
    <t>homaxih</t>
  </si>
  <si>
    <t>sylvainlyve</t>
  </si>
  <si>
    <t>SnowRunner</t>
  </si>
  <si>
    <t>alphakep</t>
  </si>
  <si>
    <t>jeefhs</t>
  </si>
  <si>
    <t>sips_</t>
  </si>
  <si>
    <t>josie5297</t>
  </si>
  <si>
    <t>rocketstreetlive</t>
  </si>
  <si>
    <t>brino</t>
  </si>
  <si>
    <t>narutovie_</t>
  </si>
  <si>
    <t>dakillzor</t>
  </si>
  <si>
    <t>central_committee</t>
  </si>
  <si>
    <t>nickeh30</t>
  </si>
  <si>
    <t>eslcsc</t>
  </si>
  <si>
    <t>smii7y</t>
  </si>
  <si>
    <t>laink</t>
  </si>
  <si>
    <t>Penumbra: Black Plague</t>
  </si>
  <si>
    <t>karmikkoala</t>
  </si>
  <si>
    <t>ranboolive</t>
  </si>
  <si>
    <t>itsassitv</t>
  </si>
  <si>
    <t>mauriceweber</t>
  </si>
  <si>
    <t>Crusader Kings III</t>
  </si>
  <si>
    <t>carynandconnie</t>
  </si>
  <si>
    <t>Raft</t>
  </si>
  <si>
    <t>nacho_dayo</t>
  </si>
  <si>
    <t>jlcs2</t>
  </si>
  <si>
    <t>nobru_xy</t>
  </si>
  <si>
    <t>buxexa_t</t>
  </si>
  <si>
    <t>sweetdreams</t>
  </si>
  <si>
    <t>giantwaffle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</si>
</sst>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3" fontId="0" fillId="0" borderId="0" xfId="0" applyNumberFormat="1"/>
    <xf numFmtId="166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4" formatCode="0.00%"/>
    </dxf>
    <dxf>
      <numFmt numFmtId="0" formatCode="General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2" formatCode="0.00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[streamers2024.xlsx]Languages!PivotTable1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Languages!$B$3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Languages!$A$4:$A$10</c:f>
              <c:strCache>
                <c:ptCount val="6"/>
                <c:pt idx="0">
                  <c:v>Chinese</c:v>
                </c:pt>
                <c:pt idx="1">
                  <c:v>English</c:v>
                </c:pt>
                <c:pt idx="2">
                  <c:v>French</c:v>
                </c:pt>
                <c:pt idx="3">
                  <c:v>Japanese</c:v>
                </c:pt>
                <c:pt idx="4">
                  <c:v>Portuguese</c:v>
                </c:pt>
                <c:pt idx="5">
                  <c:v>Spanish</c:v>
                </c:pt>
              </c:strCache>
            </c:strRef>
          </c:cat>
          <c:val>
            <c:numRef>
              <c:f>Languages!$B$4:$B$10</c:f>
              <c:numCache>
                <c:formatCode>General</c:formatCode>
                <c:ptCount val="6"/>
                <c:pt idx="0">
                  <c:v>1</c:v>
                </c:pt>
                <c:pt idx="1">
                  <c:v>37</c:v>
                </c:pt>
                <c:pt idx="2">
                  <c:v>7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E-4914-A11E-FBAABE088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9490055"/>
        <c:axId val="755864583"/>
      </c:barChart>
      <c:catAx>
        <c:axId val="719490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864583"/>
        <c:crosses val="autoZero"/>
        <c:auto val="1"/>
        <c:lblAlgn val="ctr"/>
        <c:lblOffset val="100"/>
        <c:noMultiLvlLbl val="0"/>
      </c:catAx>
      <c:valAx>
        <c:axId val="755864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90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[streamers2024.xlsx]Creator Category!PivotTable2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'Creator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'Creator Category'!$A$4:$A$6</c:f>
              <c:strCache>
                <c:ptCount val="2"/>
                <c:pt idx="0">
                  <c:v>Focused</c:v>
                </c:pt>
                <c:pt idx="1">
                  <c:v>Variety</c:v>
                </c:pt>
              </c:strCache>
            </c:strRef>
          </c:cat>
          <c:val>
            <c:numRef>
              <c:f>'Creator Category'!$B$4:$B$6</c:f>
              <c:numCache>
                <c:formatCode>_(* #,##0.00_);_(* \(#,##0.00\);_(* "-"??_);_(@_)</c:formatCode>
                <c:ptCount val="2"/>
                <c:pt idx="0">
                  <c:v>17644.543899657925</c:v>
                </c:pt>
                <c:pt idx="1">
                  <c:v>33616.573770491806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2-4F63-8FA8-F87908139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0884359"/>
        <c:axId val="950909447"/>
      </c:barChart>
      <c:catAx>
        <c:axId val="950884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909447"/>
        <c:crosses val="autoZero"/>
        <c:auto val="1"/>
        <c:lblAlgn val="ctr"/>
        <c:lblOffset val="100"/>
        <c:noMultiLvlLbl val="0"/>
      </c:catAx>
      <c:valAx>
        <c:axId val="950909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884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295275</xdr:colOff>
      <xdr:row>2</xdr:row>
      <xdr:rowOff>9525</xdr:rowOff>
    </xdr:from>
    <xdr:to>
      <xdr:col>14</xdr:col>
      <xdr:colOff>295275</xdr:colOff>
      <xdr:row>15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type">
              <a:extLst>
                <a:ext uri="{FF2B5EF4-FFF2-40B4-BE49-F238E27FC236}">
                  <a16:creationId xmlns:a16="http://schemas.microsoft.com/office/drawing/2014/main" id="{7ADE69B3-B9C7-EBC7-6832-F2972EA7AD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62850" y="390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</xdr:col>
      <xdr:colOff>190500</xdr:colOff>
      <xdr:row>1</xdr:row>
      <xdr:rowOff>47625</xdr:rowOff>
    </xdr:from>
    <xdr:to>
      <xdr:col>11</xdr:col>
      <xdr:colOff>76200</xdr:colOff>
      <xdr:row>17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3F7534-74E6-4878-A3C7-7956C1EF7BD7}"/>
            </a:ext>
            <a:ext uri="{147F2762-F138-4A5C-976F-8EAC2B608ADB}">
              <a16:predDERef xmlns:a16="http://schemas.microsoft.com/office/drawing/2014/main" pred="{7ADE69B3-B9C7-EBC7-6832-F2972EA7A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2</xdr:row>
      <xdr:rowOff>38100</xdr:rowOff>
    </xdr:from>
    <xdr:to>
      <xdr:col>10</xdr:col>
      <xdr:colOff>38100</xdr:colOff>
      <xdr:row>16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414E0B-E28B-434D-A922-90F351430C6B}"/>
            </a:ext>
            <a:ext uri="{147F2762-F138-4A5C-976F-8EAC2B608ADB}">
              <a16:predDERef xmlns:a16="http://schemas.microsoft.com/office/drawing/2014/main" pred="{302C676F-42ED-4423-AEE3-54257047B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9.747706134258" createdVersion="8" refreshedVersion="8" minRefreshableVersion="3" recordCount="999" xr:uid="{C52D864A-EEB7-4168-B58A-2B4FF3BC7313}">
  <cacheSource type="worksheet">
    <worksheetSource name="Table4"/>
  </cacheSource>
  <cacheFields count="20">
    <cacheField name="rank" numFmtId="0">
      <sharedItems containsSemiMixedTypes="0" containsString="0" containsNumber="1" containsInteger="1" minValue="1" maxValue="1000"/>
    </cacheField>
    <cacheField name="name" numFmtId="0">
      <sharedItems count="999">
        <s v="kaicenat"/>
        <s v="jynxzi"/>
        <s v="caedrel"/>
        <s v="caseoh_"/>
        <s v="ibai"/>
        <s v="auronplay"/>
        <s v="zerator"/>
        <s v="tarik"/>
        <s v="riotgames"/>
        <s v="papaplatte"/>
        <s v="dota2_paragon_ru"/>
        <s v="aminematue"/>
        <s v="kato_junichi0817"/>
        <s v="fps_shaka"/>
        <s v="illojuan"/>
        <s v="hasanabi"/>
        <s v="montanablack88"/>
        <s v="playapex"/>
        <s v="lolpacifictw"/>
        <s v="pgl_dota2"/>
        <s v="xqc"/>
        <s v="loud_coringa"/>
        <s v="raderaderader"/>
        <s v="gaules"/>
        <s v="yuuri22"/>
        <s v="eliasn97"/>
        <s v="lord_kebun"/>
        <s v="zackrawrr"/>
        <s v="tumblurr"/>
        <s v="ow_esports"/>
        <s v="shroud"/>
        <s v="legendus_shaka"/>
        <s v="paulinholokobr"/>
        <s v="squeezie"/>
        <s v="kamet0"/>
        <s v="gronkh"/>
        <s v="kingsleagueamericas"/>
        <s v="mixwell"/>
        <s v="brawlstars"/>
        <s v="summit1g"/>
        <s v="lirik"/>
        <s v="desst3"/>
        <s v="wirtual"/>
        <s v="warframe"/>
        <s v="nicewigg"/>
        <s v="stylishnoob4"/>
        <s v="rocketleague"/>
        <s v="k3soju"/>
        <s v="rubius"/>
        <s v="zubarefff"/>
        <s v="tenz"/>
        <s v="otplol_"/>
        <s v="casimito"/>
        <s v="cameliaaa92"/>
        <s v="piratesoftware"/>
        <s v="alanzoka"/>
        <s v="valorant_americas"/>
        <s v="gofns"/>
        <s v="goa7league"/>
        <s v="nexxuz"/>
        <s v="ohnepixel"/>
        <s v="tsm_imperialhal"/>
        <s v="mizkif"/>
        <s v="zetadivision"/>
        <s v="elmariana"/>
        <s v="angryginge13"/>
        <s v="lvndmark"/>
        <s v="nmplol"/>
        <s v="bisteconee"/>
        <s v="loltyler1"/>
        <s v="valorant_jpn"/>
        <s v="bratishkinoff"/>
        <s v="noway4u_sir"/>
        <s v="forsen"/>
        <s v="easportsfc"/>
        <s v="alondrissa"/>
        <s v="youngmulti"/>
        <s v="s0mcs"/>
        <s v="rainbow6"/>
        <s v="fantasista_jp"/>
        <s v="sodapoppin"/>
        <s v="spursito"/>
        <s v="jltomy"/>
        <s v="emiru"/>
        <s v="recrent"/>
        <s v="kanae_2434"/>
        <s v="baiano"/>
        <s v="moonmoon"/>
        <s v="thebausffs"/>
        <s v="fissure_cs_eng"/>
        <s v="imantado"/>
        <s v="handofblood"/>
        <s v="esports_rage"/>
        <s v="tck10"/>
        <s v="esl_dota2"/>
        <s v="xayoo_"/>
        <s v="rostislav_999"/>
        <s v="gorgc"/>
        <s v="buster"/>
        <s v="domingo"/>
        <s v="elxokas"/>
        <s v="quackitytoo"/>
        <s v="k4sen"/>
        <s v="s1mple"/>
        <s v="silvername"/>
        <s v="gotaga"/>
        <s v="tolkin"/>
        <s v="djmariio"/>
        <s v="shadowkekw"/>
        <s v="valorant_pacific"/>
        <s v="revedtv"/>
        <s v="hinanotachiba7"/>
        <s v="quin69"/>
        <s v="luquet4"/>
        <s v="rivers_gg"/>
        <s v="paymoneywubby"/>
        <s v="elspreen"/>
        <s v="warcraft"/>
        <s v="cellbit"/>
        <s v="clix"/>
        <s v="maximilian_dood"/>
        <s v="dkincc"/>
        <s v="knekro"/>
        <s v="eslcsb"/>
        <s v="valorant_emea"/>
        <s v="trymacs"/>
        <s v="thesketchreal"/>
        <s v="ironmouse"/>
        <s v="plaqueboymax"/>
        <s v="dmitry_lixxx"/>
        <s v="elajjaz"/>
        <s v="therealknossi"/>
        <s v="agent00"/>
        <s v="wtcn"/>
        <s v="gamerbrother"/>
        <s v="esfandtv"/>
        <s v="nikof"/>
        <s v="jonvlogs"/>
        <s v="ramee"/>
        <s v="xmerghani"/>
        <s v="rezo"/>
        <s v="cohhcarnage"/>
        <s v="jasontheween"/>
        <s v="gocchanmikey"/>
        <s v="simurgh"/>
        <s v="jasper7se"/>
        <s v="leb1ga"/>
        <s v="riotgamesjp"/>
        <s v="mastersnakou"/>
        <s v="stray228"/>
        <s v="northernlion"/>
        <s v="stableronaldo"/>
        <s v="bren_tm2"/>
        <s v="unboxholics"/>
        <s v="davooxeneize"/>
        <s v="hiiragitsurugi"/>
        <s v="hanjoudesu"/>
        <s v="gabepeixe"/>
        <s v="roger9527"/>
        <s v="juansguarnizo"/>
        <s v="locklear"/>
        <s v="bysl4m"/>
        <s v="sasatikk"/>
        <s v="pauleta_twitch"/>
        <s v="magic"/>
        <s v="lenagol0vach"/>
        <s v="antoinedaniel"/>
        <s v="dreadztv"/>
        <s v="lacy"/>
        <s v="fortnite"/>
        <s v="sykkuno"/>
        <s v="botezlive"/>
        <s v="m0nesyof"/>
        <s v="esl_dota2ember"/>
        <s v="wankilstudio"/>
        <s v="rdcgaming"/>
        <s v="aztecross"/>
        <s v="worldoftanks"/>
        <s v="evo"/>
        <s v="amazonmusic"/>
        <s v="guilty1223"/>
        <s v="cr_vanilla"/>
        <s v="h2p_gucio"/>
        <s v="jesusavgn"/>
        <s v="rdjavi"/>
        <s v="maximebiaggi"/>
        <s v="joueur_du_grenier"/>
        <s v="skywhywalker"/>
        <s v="nba2kleague"/>
        <s v="wenlobong"/>
        <s v="vodkavdk"/>
        <s v="schlatt"/>
        <s v="mrsavage"/>
        <s v="bykingcl"/>
        <s v="tectone"/>
        <s v="litkillah"/>
        <s v="doublelift"/>
        <s v="maya"/>
        <s v="scump"/>
        <s v="cdawgva"/>
        <s v="tisischubech"/>
        <s v="therealmarzaa"/>
        <s v="ravshann"/>
        <s v="nix"/>
        <s v="jcorko_"/>
        <s v="martinciriook"/>
        <s v="twitchrivals"/>
        <s v="runthefutmarket"/>
        <s v="rebeudeter"/>
        <s v="aussieantics"/>
        <s v="guacamolemolly"/>
        <s v="jinnytty"/>
        <s v="pgl_dota2en2"/>
        <s v="hutchmf"/>
        <s v="thegrefg"/>
        <s v="auziomf"/>
        <s v="giggand"/>
        <s v="josedeodo"/>
        <s v="mira"/>
        <s v="dangerlyoha"/>
        <s v="zentreya"/>
        <s v="stariy_bog"/>
        <s v="kyedae"/>
        <s v="extraemily"/>
        <s v="brawlhalla"/>
        <s v="akamikarubi"/>
        <s v="bbbb87"/>
        <s v="dota2_paragon_ru2"/>
        <s v="spiukbs"/>
        <s v="esl_dota2storm"/>
        <s v="pokimane"/>
        <s v="jolavanille"/>
        <s v="vinesauce"/>
        <s v="strogo1337"/>
        <s v="yoda"/>
        <s v="bastighg"/>
        <s v="mistermv"/>
        <s v="bkinho"/>
        <s v="otzdarva"/>
        <s v="elzeein"/>
        <s v="setsuko"/>
        <s v="woohankyung"/>
        <s v="steel"/>
        <s v="etoiles"/>
        <s v="finalfantasyxiv"/>
        <s v="dougdoug"/>
        <s v="gerardromero"/>
        <s v="yuyuta0702"/>
        <s v="duke"/>
        <s v="meikodrj"/>
        <s v="lacobraaa"/>
        <s v="fanum"/>
        <s v="franio"/>
        <s v="henyathegenius"/>
        <s v="tikyjr"/>
        <s v="bonjwa"/>
        <s v="jordan_semih"/>
        <s v="pobelter"/>
        <s v="valorant_br"/>
        <s v="mobilmobil"/>
        <s v="izakooo"/>
        <s v="never_loses"/>
        <s v="oestagiario"/>
        <s v="staiy"/>
        <s v="akademiks"/>
        <s v="cct_cs"/>
        <s v="watsondoto"/>
        <s v="warframeinternational"/>
        <s v="pqueen"/>
        <s v="ninja"/>
        <s v="distortion2"/>
        <s v="betboom_cs_a"/>
        <s v="koreshzy"/>
        <s v="ilrossopiubelloditwitch"/>
        <s v="michou"/>
        <s v="banda_chosuke"/>
        <s v="filian"/>
        <s v="ramzes"/>
        <s v="barbarousking"/>
        <s v="t2x2"/>
        <s v="diario_as"/>
        <s v="renatko"/>
        <s v="chatterbox"/>
        <s v="chess"/>
        <s v="admiralbahroo"/>
        <s v="xrohat"/>
        <s v="vedal987"/>
        <s v="roier"/>
        <s v="doigby"/>
        <s v="att"/>
        <s v="skermz"/>
        <s v="samueletienne"/>
        <s v="haitani0904"/>
        <s v="telefe"/>
        <s v="imorr"/>
        <s v="dariomocciatwitch"/>
        <s v="lilsimsie"/>
        <s v="penta"/>
        <s v="nikolarn"/>
        <s v="supertf"/>
        <s v="realzbluewater"/>
        <s v="lightturnip"/>
        <s v="hiswattson"/>
        <s v="glorious_e"/>
        <s v="michimochievee"/>
        <s v="kmsenkangoo"/>
        <s v="yaritaiji"/>
        <s v="imaqtpie"/>
        <s v="deepins02"/>
        <s v="mazellovvv"/>
        <s v="faide"/>
        <s v="akarindao"/>
        <s v="4head"/>
        <s v="keznit1"/>
        <s v="pestily"/>
        <s v="gafallen"/>
        <s v="chilledchaos"/>
        <s v="abugoku9999"/>
        <s v="agustinunaplay8"/>
        <s v="just_ns"/>
        <s v="tubbo"/>
        <s v="kickeresport"/>
        <s v="mande"/>
        <s v="skyyart"/>
        <s v="lla"/>
        <s v="quicksoooooo"/>
        <s v="kussia88"/>
        <s v="cr_arisakaaa"/>
        <s v="im_mittiii"/>
        <s v="missmikkaa"/>
        <s v="des0ut"/>
        <s v="grendy"/>
        <s v="minerva"/>
        <s v="universoreality_cl"/>
        <s v="nissaxter"/>
        <s v="shuteye_orange"/>
        <s v="perxitaa"/>
        <s v="jokerdtv"/>
        <s v="laligafcpro"/>
        <s v="xcry"/>
        <s v="pequenocabelo"/>
        <s v="dantes"/>
        <s v="willneff"/>
        <s v="voodoosh"/>
        <s v="gronkhtv"/>
        <s v="drututt"/>
        <s v="manuuxo"/>
        <s v="nadeshot"/>
        <s v="sasavot"/>
        <s v="spkclb"/>
        <s v="alfrea"/>
        <s v="broxah"/>
        <s v="sacy"/>
        <s v="oceaneamsler"/>
        <s v="ren_kisaragi__"/>
        <s v="moistcr1tikal"/>
        <s v="ravanha69"/>
        <s v="boxbox"/>
        <s v="carreraaa"/>
        <s v="evojapan02"/>
        <s v="39daph"/>
        <s v="robcdee"/>
        <s v="emongg"/>
        <s v="evojapan01"/>
        <s v="moe_iori"/>
        <s v="crazyraccoonyy"/>
        <s v="vysotzky"/>
        <s v="naru0419045"/>
        <s v="aquino"/>
        <s v="amouranth"/>
        <s v="theneedledrop"/>
        <s v="zoomaa"/>
        <s v="aldo_geo"/>
        <s v="sanninshow_3ns"/>
        <s v="jingggxd"/>
        <s v="batora324"/>
        <s v="rezonfn"/>
        <s v="luminositygaming"/>
        <s v="dasmehdi"/>
        <s v="rdulive"/>
        <s v="masondota2"/>
        <s v="symfuhny"/>
        <s v="mckytv"/>
        <s v="insym"/>
        <s v="vei"/>
        <s v="peterbot"/>
        <s v="oniyadayo"/>
        <s v="quickybaby"/>
        <s v="tfblade"/>
        <s v="smallant"/>
        <s v="asianbunnyx"/>
        <s v="zrush"/>
        <s v="amar"/>
        <s v="kyle"/>
        <s v="ow_uruca"/>
        <s v="ijenz"/>
        <s v="hudson_jw"/>
        <s v="stompgoat"/>
        <s v="ratirl"/>
        <s v="elded"/>
        <s v="neexcsgo"/>
        <s v="dota2_paragon_ru3"/>
        <s v="kitboga"/>
        <s v="c0ker"/>
        <s v="flats"/>
        <s v="gutitubo"/>
        <s v="crystalmolly"/>
        <s v="chowh1"/>
        <s v="absoluttlol"/>
        <s v="mertabimula"/>
        <s v="foolish"/>
        <s v="im_dontai"/>
        <s v="gu_zk"/>
        <s v="alexelcapo"/>
        <s v="serega_pirat"/>
        <s v="nobruxyn"/>
        <s v="zy0xxx"/>
        <s v="skylinetvlive"/>
        <s v="lex_official_casino"/>
        <s v="xthesolutiontv"/>
        <s v="c_a_k_e"/>
        <s v="grenbaud"/>
        <s v="tomateking"/>
        <s v="alveussanctuary"/>
        <s v="fugu_fps"/>
        <s v="rocketbaguette"/>
        <s v="brothers_baseball"/>
        <s v="iwdominate"/>
        <s v="godjj"/>
        <s v="rybsonlol_"/>
        <s v="dkayed"/>
        <s v="teamredline"/>
        <s v="ml7support"/>
        <s v="scrapie"/>
        <s v="97zoner"/>
        <s v="coreano"/>
        <s v="daigothebeastv"/>
        <s v="adolfz"/>
        <s v="valorant_fr"/>
        <s v="smoke"/>
        <s v="bichouu_"/>
        <s v="obormentv"/>
        <s v="diazbiffle"/>
        <s v="xaryu"/>
        <s v="qojqva"/>
        <s v="jutysel"/>
        <s v="symbiolive"/>
        <s v="disguisedtoast"/>
        <s v="aspen"/>
        <s v="suetam1v4"/>
        <s v="sidneyeweka"/>
        <s v="oldschoolrs"/>
        <s v="sardoche"/>
        <s v="sinatraa"/>
        <s v="niklaswilson"/>
        <s v="spygea"/>
        <s v="erobb221"/>
        <s v="pokelawls"/>
        <s v="hennie2001"/>
        <s v="shinjifromjapanxd"/>
        <s v="miniminter"/>
        <s v="saadhak"/>
        <s v="nickmercs"/>
        <s v="tekken"/>
        <s v="sliggytv"/>
        <s v="gingitv"/>
        <s v="myrajusa"/>
        <s v="warthunder_esports"/>
        <s v="ayellol"/>
        <s v="mongraal"/>
        <s v="ydosyc"/>
        <s v="lydiaviolet"/>
        <s v="pubg_battlegrounds"/>
        <s v="rubenmartinweb"/>
        <s v="edwin_live"/>
        <s v="the_happy_hob"/>
        <s v="prxf0rsaken"/>
        <s v="melharucos"/>
        <s v="byilhann"/>
        <s v="shylily"/>
        <s v="sajam"/>
        <s v="honeypuu"/>
        <s v="dvm_medja"/>
        <s v="japanesekoreanug"/>
        <s v="drakeoffc"/>
        <s v="philza"/>
        <s v="deqiuv"/>
        <s v="tomato"/>
        <s v="emeamasters"/>
        <s v="ronnyberger"/>
        <s v="revenant"/>
        <s v="ecusobe"/>
        <s v="cs2_paragon_ru"/>
        <s v="mortdog"/>
        <s v="buxexa_v"/>
        <s v="gssspotted"/>
        <s v="dogdog"/>
        <s v="kyootbot"/>
        <s v="lxrygirltv"/>
        <s v="w0n23"/>
        <s v="ponce"/>
        <s v="shisheyu"/>
        <s v="xop0"/>
        <s v="blackufa"/>
        <s v="yoon_froggy"/>
        <s v="shotzzy"/>
        <s v="morphe_ya"/>
        <s v="helydia"/>
        <s v="pietsmiet"/>
        <s v="criticalrole"/>
        <s v="rainbow6bravo"/>
        <s v="ryluva"/>
        <s v="healthygamer_gg"/>
        <s v="baitybait"/>
        <s v="hitsquadgodfather"/>
        <s v="elchiringuitotv"/>
        <s v="zerospoker"/>
        <s v="frg_ox"/>
        <s v="danila_gorilla"/>
        <s v="golaniyule0"/>
        <s v="lol_nemesis"/>
        <s v="fifakillvizualz"/>
        <s v="mohaguvy"/>
        <s v="buxexa_px"/>
        <s v="rebirthztv"/>
        <s v="shanks_ttv"/>
        <s v="metashi12"/>
        <s v="zakvielchannel"/>
        <s v="calcioberlin"/>
        <s v="nl_kripp"/>
        <s v="oatley"/>
        <s v="ufyzehug"/>
        <s v="luxurygirl_p"/>
        <s v="wdgjapan_ow"/>
        <s v="syztmyx"/>
        <s v="tororo_vtuber"/>
        <s v="cblol"/>
        <s v="avyget"/>
        <s v="jackeyy"/>
        <s v="laculebi"/>
        <s v="nobru_xyn"/>
        <s v="mago2dgod"/>
        <s v="lvpes"/>
        <s v="2okos"/>
        <s v="deusamir"/>
        <s v="jankos"/>
        <s v="welovegames"/>
        <s v="squeex"/>
        <s v="n3koglai"/>
        <s v="avoidingthepuddle"/>
        <s v="yukiofps14"/>
        <s v="rainelissss"/>
        <s v="teepee"/>
        <s v="syztmy"/>
        <s v="mattp1tommy"/>
        <s v="kamito_jp"/>
        <s v="nervarien"/>
        <s v="eamaddennfl"/>
        <s v="kubafps"/>
        <s v="brtt"/>
        <s v="singsing"/>
        <s v="mokouliszt1"/>
        <s v="tangotek"/>
        <s v="silky"/>
        <s v="redbullbatalla"/>
        <s v="canalquickie"/>
        <s v="blusewilly_retry"/>
        <s v="joe_bartolozzi"/>
        <s v="ekylimy"/>
        <s v="zwebackhd"/>
        <s v="quarterjade"/>
        <s v="light_starboy"/>
        <s v="axozer"/>
        <s v="lars_tm"/>
        <s v="shlorox"/>
        <s v="kr1stw"/>
        <s v="ewroon"/>
        <s v="valorant_la"/>
        <s v="agraelus"/>
        <s v="yamatosdeath"/>
        <s v="peintooon"/>
        <s v="razah"/>
        <s v="maximum"/>
        <s v="smthlikeyou11"/>
        <s v="nisqyy"/>
        <s v="mrdzinold"/>
        <s v="lysium"/>
        <s v="zekken"/>
        <s v="gytoxydo"/>
        <s v="iitztimmy"/>
        <s v="buxexa_e"/>
        <s v="derajn"/>
        <s v="zegociv"/>
        <s v="dhalucard"/>
        <s v="bananirou"/>
        <s v="olgaenvivo"/>
        <s v="elglogloking"/>
        <s v="putupau"/>
        <s v="klean"/>
        <s v="iateyourpie"/>
        <s v="liminhag0d"/>
        <s v="sneakylol"/>
        <s v="gmhikaru"/>
        <s v="snopey_"/>
        <s v="goodtimeswithscar"/>
        <s v="fl0m"/>
        <s v="lamc"/>
        <s v="strippin"/>
        <s v="hudson_om"/>
        <s v="by_owl"/>
        <s v="begizo"/>
        <s v="lynxcerezlol"/>
        <s v="midbeast"/>
        <s v="derzko69"/>
        <s v="jidionpremium"/>
        <s v="emilyywang"/>
        <s v="jeanmassiet"/>
        <s v="dracon"/>
        <s v="helin139"/>
        <s v="thedandangler"/>
        <s v="matarakan"/>
        <s v="iamcristinini"/>
        <s v="footballbromance"/>
        <s v="jukes"/>
        <s v="rockykramer"/>
        <s v="brokybrawkstv"/>
        <s v="skill4ltu"/>
        <s v="xarola_"/>
        <s v="traytonlol"/>
        <s v="meduska"/>
        <s v="ferretsoftware"/>
        <s v="willerz"/>
        <s v="datmodz"/>
        <s v="altair"/>
        <s v="vymago"/>
        <s v="kxpture"/>
        <s v="titanlol1"/>
        <s v="maxim"/>
        <s v="malchugov"/>
        <s v="edizderbreite"/>
        <s v="dz7baile"/>
        <s v="wudijo"/>
        <s v="dota2_maincast"/>
        <s v="popo"/>
        <s v="itsspoit"/>
        <s v="staryuuki"/>
        <s v="controcalcio__"/>
        <s v="alderiate"/>
        <s v="trebor"/>
        <s v="juanicar_"/>
        <s v="axtlol"/>
        <s v="gcxevent"/>
        <s v="imls"/>
        <s v="poinemaia"/>
        <s v="cs2_maincast"/>
        <s v="vatira_"/>
        <s v="yoshinama222"/>
        <s v="kaysan"/>
        <s v="buxexa_y"/>
        <s v="papesan"/>
        <s v="paivinha29"/>
        <s v="cinna"/>
        <s v="alphasniper97"/>
        <s v="guanweiboy"/>
        <s v="qusazytu"/>
        <s v="buxexa_l"/>
        <s v="alphacast"/>
        <s v="elwycco"/>
        <s v="silvervale"/>
        <s v="ilame"/>
        <s v="impulsesv"/>
        <s v="france_tv_slash"/>
        <s v="burkeblack"/>
        <s v="kspksp"/>
        <s v="qudegam"/>
        <s v="qttsix"/>
        <s v="santutu"/>
        <s v="stintik"/>
        <s v="tonton"/>
        <s v="llunaclark"/>
        <s v="rezreel"/>
        <s v="frg_ix"/>
        <s v="dep_ow"/>
        <s v="hudson_jk"/>
        <s v="grubby"/>
        <s v="oslo"/>
        <s v="unicornio"/>
        <s v="cr_rion"/>
        <s v="asiagodtonegg3be0"/>
        <s v="uzra"/>
        <s v="ybicanoooobov"/>
        <s v="ta1yo_tv"/>
        <s v="shxtou"/>
        <s v="towelliee"/>
        <s v="kenki521"/>
        <s v="gtasty"/>
        <s v="vgbootcamp"/>
        <s v="skipnho"/>
        <s v="morgpie"/>
        <s v="dmf_kyochan"/>
        <s v="cyr"/>
        <s v="stankrat"/>
        <s v="5opka"/>
        <s v="haiset"/>
        <s v="mithrain"/>
        <s v="huahed"/>
        <s v="ikoma_dogura"/>
        <s v="gothamchess"/>
        <s v="franciscoow"/>
        <s v="luxurygirl_c"/>
        <s v="potatozytb"/>
        <s v="girlsluxury"/>
        <s v="agustabell212"/>
        <s v="fibii"/>
        <s v="sinder"/>
        <s v="luxurygirl_g"/>
        <s v="nobruxyx"/>
        <s v="frttt"/>
        <s v="buxexa_p"/>
        <s v="rush"/>
        <s v="worldofwarships"/>
        <s v="letshugotv"/>
        <s v="demon1"/>
        <s v="nadia"/>
        <s v="bepofani"/>
        <s v="universoreality_br"/>
        <s v="alpharad"/>
        <s v="doktorfroid"/>
        <s v="bobbypoffgaming"/>
        <s v="dannyaarons"/>
        <s v="orkpod"/>
        <s v="dafran"/>
        <s v="dishsoap"/>
        <s v="zanoxvii"/>
        <s v="rob2628"/>
        <s v="luxurygirl_y"/>
        <s v="thejrm_"/>
        <s v="esportsu"/>
        <s v="solaryhs"/>
        <s v="vyleja"/>
        <s v="cabramaravilla"/>
        <s v="raxxanterax"/>
        <s v="mym_alkapone"/>
        <s v="tioorochitwitch"/>
        <s v="irissiri129"/>
        <s v="mipooshka"/>
        <s v="grimmmz"/>
        <s v="ligue1ubereats"/>
        <s v="mynthos"/>
        <s v="lexveldhuis"/>
        <s v="buxexa_a"/>
        <s v="danyetraz"/>
        <s v="gorilon"/>
        <s v="evojapan03"/>
        <s v="faiar"/>
        <s v="rainbow6br"/>
        <s v="deansocool"/>
        <s v="robinsongz"/>
        <s v="bigbossboze"/>
        <s v="jd_onlymusic"/>
        <s v="knebeltv"/>
        <s v="phunkroyal"/>
        <s v="tanzverbot"/>
        <s v="sam1268"/>
        <s v="move_mind"/>
        <s v="skillz0r1337"/>
        <s v="imod"/>
        <s v="lxrsgirls"/>
        <s v="rickyedit"/>
        <s v="putezice"/>
        <s v="fakturka"/>
        <s v="esb_dota2"/>
        <s v="pizfn"/>
        <s v="clemovitch"/>
        <s v="aydan"/>
        <s v="scurrows"/>
        <s v="tinakitten"/>
        <s v="datto"/>
        <s v="tpabomah"/>
        <s v="burgaofps"/>
        <s v="premiertwo"/>
        <s v="sutanmi"/>
        <s v="limealicious"/>
        <s v="baikincl"/>
        <s v="creamtherabbit"/>
        <s v="akaonikou1207"/>
        <s v="buckefps"/>
        <s v="goncho"/>
        <s v="ennaouii"/>
        <s v="zarbex"/>
        <s v="teegrizzley"/>
        <s v="domenicowaccoo"/>
        <s v="deadlyslob"/>
        <s v="johnqtcs"/>
        <s v="mrpokke"/>
        <s v="tteuw"/>
        <s v="atrioc"/>
        <s v="abed_dota"/>
        <s v="roxasorg13th"/>
        <s v="juice"/>
        <s v="justcooman"/>
        <s v="bbreadman"/>
        <s v="banduracartel"/>
        <s v="maghla"/>
        <s v="machete_vilches"/>
        <s v="dekkster"/>
        <s v="dunduk"/>
        <s v="zeling"/>
        <s v="r_k7den"/>
        <s v="gostreamstv1158"/>
        <s v="restiafps"/>
        <s v="low031"/>
        <s v="sick_nerd"/>
        <s v="sharkmacedo"/>
        <s v="nihmune"/>
        <s v="sirmaza"/>
        <s v="simply"/>
        <s v="lilaggy"/>
        <s v="amakipururu"/>
        <s v="tarzaned"/>
        <s v="therunningmanz"/>
        <s v="sequisha"/>
        <s v="mister_m_do_tigrinho"/>
        <s v="qtcinderella"/>
        <s v="playhard"/>
        <s v="jeffhoogland"/>
        <s v="dekarldent"/>
        <s v="lazvell"/>
        <s v="kettuncyukyuhei"/>
        <s v="subroza"/>
        <s v="torontotokyo17"/>
        <s v="agustin51"/>
        <s v="curry"/>
        <s v="9pasha"/>
        <s v="icuvabi"/>
        <s v="flight23white"/>
        <s v="formula1"/>
        <s v="aunkere"/>
        <s v="moonryde"/>
        <s v="s201111"/>
        <s v="agurin"/>
        <s v="ibabyrainbow"/>
        <s v="xari"/>
        <s v="carpentieri"/>
        <s v="akyuliych"/>
        <s v="kkatamina"/>
        <s v="krapycoco"/>
        <s v="fobm4ster"/>
        <s v="terracid"/>
        <s v="solary"/>
        <s v="ade3_3"/>
        <s v="forg1"/>
        <s v="mother3rd"/>
        <s v="xqn_thesad"/>
        <s v="laplusdarknesss_hololive"/>
        <s v="carolinekwan"/>
        <s v="elyihi"/>
        <s v="fer"/>
        <s v="lukisteve"/>
        <s v="silizvlive"/>
        <s v="dashy"/>
        <s v="fanfan"/>
        <s v="omybexul"/>
        <s v="vegetta777"/>
        <s v="terablade"/>
        <s v="hugodelire"/>
        <s v="sypherpk"/>
        <s v="orslok"/>
        <s v="ricoy"/>
        <s v="benjyfishy"/>
        <s v="psp1g"/>
        <s v="rocky_"/>
        <s v="vozipu"/>
        <s v="bawkbasoup"/>
        <s v="thijs"/>
        <s v="dansgaming"/>
        <s v="chibidoki"/>
        <s v="bakagaijinlive"/>
        <s v="surefour"/>
        <s v="rtgame"/>
        <s v="turuokamonohashi"/>
        <s v="geega"/>
        <s v="luzu_tv"/>
        <s v="boxyfresh"/>
        <s v="nyrepik"/>
        <s v="bao"/>
        <s v="artcsgo"/>
        <s v="hudson_nf"/>
        <s v="onigiri"/>
        <s v="pikabooirl"/>
        <s v="a_seagull"/>
        <s v="anniefuchsia"/>
        <s v="qlnek"/>
        <s v="tototmix"/>
        <s v="et_1231"/>
        <s v="todukori"/>
        <s v="gernaderjake"/>
        <s v="bisejif"/>
        <s v="tvander"/>
        <s v="filow"/>
        <s v="spontent"/>
        <s v="pancadalv"/>
        <s v="themainmanswe"/>
        <s v="versuta"/>
        <s v="crackheber"/>
        <s v="kinggothalion"/>
        <s v="f1nn5ter"/>
        <s v="ray"/>
        <s v="gladd"/>
        <s v="saruei"/>
        <s v="echo_esports"/>
        <s v="th3antonio"/>
        <s v="jujalag"/>
        <s v="tonyrobbins"/>
        <s v="xhocii"/>
        <s v="arturofernandeztv"/>
        <s v="tamatthi"/>
        <s v="hazardu"/>
        <s v="monarch"/>
        <s v="xchocobars"/>
        <s v="marcomerrino"/>
        <s v="jessirocks"/>
        <s v="keshaeuw"/>
        <s v="vukiby"/>
        <s v="ayrun"/>
        <s v="limmy"/>
        <s v="repullze"/>
        <s v="officermesser"/>
        <s v="wakzlol"/>
        <s v="alinity"/>
        <s v="jay3"/>
        <s v="kaydop"/>
        <s v="gotsukishima"/>
        <s v="makupag"/>
        <s v="chiringuitovivo"/>
        <s v="vetheo"/>
        <s v="buxexa_q"/>
        <s v="scream"/>
        <s v="orangemorange"/>
        <s v="sheefgg"/>
        <s v="hudson_fss"/>
        <s v="annacramling"/>
        <s v="manyrin"/>
        <s v="happyhappygal"/>
        <s v="kumalezo"/>
        <s v="yetz"/>
        <s v="xnapycz"/>
        <s v="julien"/>
        <s v="buxexa_r"/>
        <s v="payo"/>
        <s v="ricci"/>
        <s v="relaxcis"/>
        <s v="menostrece"/>
        <s v="sweatcicle"/>
        <s v="mylonzete"/>
        <s v="jaikerumakuson"/>
        <s v="loeya"/>
        <s v="renekreher"/>
        <s v="coolifegame"/>
        <s v="edopeh"/>
        <s v="kokujintv"/>
        <s v="lvthalo"/>
        <s v="lollolacustre"/>
        <s v="thiefs"/>
        <s v="alexclick"/>
        <s v="el_yuste"/>
        <s v="ko0416"/>
        <s v="ariasaki"/>
        <s v="auslots"/>
        <s v="bunnyayu"/>
        <s v="ai_hongo_"/>
        <s v="slipix"/>
        <s v="gearbaby1010"/>
        <s v="homaxih"/>
        <s v="sylvainlyve"/>
        <s v="alphakep"/>
        <s v="jeefhs"/>
        <s v="sips_"/>
        <s v="josie5297"/>
        <s v="rocketstreetlive"/>
        <s v="brino"/>
        <s v="narutovie_"/>
        <s v="dakillzor"/>
        <s v="central_committee"/>
        <s v="nickeh30"/>
        <s v="eslcsc"/>
        <s v="smii7y"/>
        <s v="laink"/>
        <s v="karmikkoala"/>
        <s v="ranboolive"/>
        <s v="itsassitv"/>
        <s v="mauriceweber"/>
        <s v="carynandconnie"/>
        <s v="nacho_dayo"/>
        <s v="jlcs2"/>
        <s v="nobru_xy"/>
        <s v="buxexa_t"/>
        <s v="sweetdreams"/>
        <s v="giantwaffle"/>
      </sharedItems>
    </cacheField>
    <cacheField name="language" numFmtId="0">
      <sharedItems count="19">
        <s v="English"/>
        <s v="Spanish"/>
        <s v="French"/>
        <s v="German"/>
        <s v="Russian"/>
        <s v="Japanese"/>
        <s v="Chinese"/>
        <s v="Portuguese"/>
        <s v="Italian"/>
        <s v="Polish"/>
        <s v="Turkish"/>
        <s v="Ukrainian"/>
        <s v="Korean"/>
        <s v="Thai"/>
        <s v="Hungarian"/>
        <s v="Czech"/>
        <s v="Cantonese"/>
        <s v="Romanian"/>
        <s v="Arabic"/>
      </sharedItems>
    </cacheField>
    <cacheField name="type" numFmtId="0">
      <sharedItems count="2">
        <s v="personality"/>
        <s v="esports"/>
      </sharedItems>
    </cacheField>
    <cacheField name="most_streamed_game" numFmtId="0">
      <sharedItems/>
    </cacheField>
    <cacheField name="second_most_streamed_game" numFmtId="0">
      <sharedItems containsBlank="1"/>
    </cacheField>
    <cacheField name="average_stream_duration" numFmtId="2">
      <sharedItems containsSemiMixedTypes="0" containsString="0" containsNumber="1" minValue="1.2" maxValue="23.9"/>
    </cacheField>
    <cacheField name="followers_gained_per_stream" numFmtId="0">
      <sharedItems containsSemiMixedTypes="0" containsString="0" containsNumber="1" containsInteger="1" minValue="-4240" maxValue="18889"/>
    </cacheField>
    <cacheField name="avg_viewers_per_stream" numFmtId="0">
      <sharedItems containsSemiMixedTypes="0" containsString="0" containsNumber="1" containsInteger="1" minValue="0" maxValue="481615"/>
    </cacheField>
    <cacheField name="avg_games_per_stream" numFmtId="0">
      <sharedItems containsSemiMixedTypes="0" containsString="0" containsNumber="1" minValue="1" maxValue="9.3000000000000007"/>
    </cacheField>
    <cacheField name="total_time_streamed" numFmtId="0">
      <sharedItems containsSemiMixedTypes="0" containsString="0" containsNumber="1" containsInteger="1" minValue="27" maxValue="90920"/>
    </cacheField>
    <cacheField name="total_followers" numFmtId="166">
      <sharedItems containsSemiMixedTypes="0" containsString="0" containsNumber="1" containsInteger="1" minValue="0" maxValue="19000000"/>
    </cacheField>
    <cacheField name="total_views" numFmtId="166">
      <sharedItems containsSemiMixedTypes="0" containsString="0" containsNumber="1" containsInteger="1" minValue="0" maxValue="572000000"/>
    </cacheField>
    <cacheField name="total_games_streamed" numFmtId="0">
      <sharedItems containsSemiMixedTypes="0" containsString="0" containsNumber="1" containsInteger="1" minValue="1" maxValue="2980"/>
    </cacheField>
    <cacheField name="active_days_per_week" numFmtId="0">
      <sharedItems containsSemiMixedTypes="0" containsString="0" containsNumber="1" minValue="0" maxValue="7"/>
    </cacheField>
    <cacheField name="most_active_day" numFmtId="0">
      <sharedItems/>
    </cacheField>
    <cacheField name="day_with_most_followers_gained" numFmtId="0">
      <sharedItems count="7">
        <s v="Saturday"/>
        <s v="Sunday"/>
        <s v="Monday"/>
        <s v="Friday"/>
        <s v="Tuesday"/>
        <s v="Thursday"/>
        <s v="Wednesday"/>
      </sharedItems>
    </cacheField>
    <cacheField name="Followers Per Hour" numFmtId="166">
      <sharedItems containsSemiMixedTypes="0" containsString="0" containsNumber="1" minValue="0" maxValue="5413636.3636363642"/>
    </cacheField>
    <cacheField name="Creator Category" numFmtId="0">
      <sharedItems count="2">
        <s v="Variety"/>
        <s v="Focused"/>
      </sharedItems>
    </cacheField>
    <cacheField name="Engagement Rate" numFmtId="10">
      <sharedItems containsMixedTypes="1" containsNumber="1" minValue="0" maxValue="14.8032"/>
    </cacheField>
  </cacheFields>
  <extLst>
    <ext xmlns:x14="http://schemas.microsoft.com/office/spreadsheetml/2009/9/main" uri="{725AE2AE-9491-48be-B2B4-4EB974FC3084}">
      <x14:pivotCacheDefinition pivotCacheId="21410418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n v="1"/>
    <x v="0"/>
    <x v="0"/>
    <x v="0"/>
    <s v="Just Chatting"/>
    <s v="I'm Only Sleeping"/>
    <n v="7.6"/>
    <n v="18405"/>
    <n v="15852"/>
    <n v="2.2999999999999998"/>
    <n v="4698"/>
    <n v="10600000"/>
    <n v="9150000"/>
    <n v="194"/>
    <n v="3.6"/>
    <s v="Friday"/>
    <x v="0"/>
    <n v="135376.75606641124"/>
    <x v="0"/>
    <n v="1.4954716981132076E-3"/>
  </r>
  <r>
    <n v="2"/>
    <x v="1"/>
    <x v="0"/>
    <x v="0"/>
    <s v="Tom Clancy's Rainbow Six Siege"/>
    <s v="NBA 2K20"/>
    <n v="5.4"/>
    <n v="3386"/>
    <n v="1145"/>
    <n v="1.2"/>
    <n v="8407"/>
    <n v="5760000"/>
    <n v="1950000"/>
    <n v="54"/>
    <n v="5.6"/>
    <s v="Tuesday"/>
    <x v="1"/>
    <n v="41108.599976210302"/>
    <x v="1"/>
    <n v="1.9878472222222221E-4"/>
  </r>
  <r>
    <n v="3"/>
    <x v="2"/>
    <x v="0"/>
    <x v="0"/>
    <s v="League of Legends"/>
    <s v="I'm Only Sleeping"/>
    <n v="6.3"/>
    <n v="689"/>
    <n v="12331"/>
    <n v="1.3"/>
    <n v="6728"/>
    <n v="797000"/>
    <n v="14200000"/>
    <n v="111"/>
    <n v="2.8"/>
    <s v="Thursday"/>
    <x v="1"/>
    <n v="7107.6099881093933"/>
    <x v="1"/>
    <n v="1.547176913425345E-2"/>
  </r>
  <r>
    <n v="4"/>
    <x v="3"/>
    <x v="0"/>
    <x v="0"/>
    <s v="NBA 2K23"/>
    <s v="Just Chatting"/>
    <n v="4.5999999999999996"/>
    <n v="7185"/>
    <n v="0"/>
    <n v="3.6"/>
    <n v="2554"/>
    <n v="4220000"/>
    <n v="53"/>
    <n v="385"/>
    <n v="6.2"/>
    <s v="Friday"/>
    <x v="2"/>
    <n v="99138.606108065767"/>
    <x v="0"/>
    <n v="0"/>
  </r>
  <r>
    <n v="5"/>
    <x v="4"/>
    <x v="1"/>
    <x v="0"/>
    <s v="Just Chatting"/>
    <s v="League of Legends"/>
    <n v="4.0999999999999996"/>
    <n v="8289"/>
    <n v="190714"/>
    <n v="1.5"/>
    <n v="6865"/>
    <n v="15600000"/>
    <n v="359000000"/>
    <n v="149"/>
    <n v="4.3"/>
    <s v="Wednesday"/>
    <x v="0"/>
    <n v="136343.77276037872"/>
    <x v="1"/>
    <n v="1.2225256410256411E-2"/>
  </r>
  <r>
    <n v="6"/>
    <x v="5"/>
    <x v="1"/>
    <x v="0"/>
    <s v="Minecraft"/>
    <s v="Just Chatting"/>
    <n v="3.7"/>
    <n v="1326"/>
    <n v="213849"/>
    <n v="1.8"/>
    <n v="4482"/>
    <n v="16300000"/>
    <n v="263000000"/>
    <n v="169"/>
    <n v="5"/>
    <s v="Wednesday"/>
    <x v="1"/>
    <n v="218206.15796519411"/>
    <x v="1"/>
    <n v="1.311957055214724E-2"/>
  </r>
  <r>
    <n v="7"/>
    <x v="6"/>
    <x v="2"/>
    <x v="0"/>
    <s v="World of Warcraft"/>
    <s v="VALORANT"/>
    <n v="5.0999999999999996"/>
    <n v="6670"/>
    <n v="70813"/>
    <n v="1.6"/>
    <n v="9845"/>
    <n v="1570000"/>
    <n v="156000000"/>
    <n v="448"/>
    <n v="5"/>
    <s v="Sunday"/>
    <x v="1"/>
    <n v="9568.3087861858803"/>
    <x v="1"/>
    <n v="4.5103821656050952E-2"/>
  </r>
  <r>
    <n v="8"/>
    <x v="7"/>
    <x v="0"/>
    <x v="0"/>
    <s v="VALORANT"/>
    <s v="Counter-Strike"/>
    <n v="7.6"/>
    <n v="2013"/>
    <n v="6043"/>
    <n v="1.3"/>
    <n v="10995"/>
    <n v="3110000"/>
    <n v="93300000"/>
    <n v="78"/>
    <n v="3.7"/>
    <s v="Thursday"/>
    <x v="1"/>
    <n v="16971.350613915416"/>
    <x v="1"/>
    <n v="1.9430868167202573E-3"/>
  </r>
  <r>
    <n v="9"/>
    <x v="8"/>
    <x v="0"/>
    <x v="1"/>
    <s v="League of Legends"/>
    <s v="League of Legends: Wild Rift"/>
    <n v="8.5"/>
    <n v="3434"/>
    <n v="346968"/>
    <n v="1"/>
    <n v="9459"/>
    <n v="6860000"/>
    <n v="1339000"/>
    <n v="8"/>
    <n v="2.8"/>
    <s v="Saturday"/>
    <x v="1"/>
    <n v="43514.113542657782"/>
    <x v="1"/>
    <n v="5.0578425655976679E-2"/>
  </r>
  <r>
    <n v="10"/>
    <x v="9"/>
    <x v="3"/>
    <x v="0"/>
    <s v="Just Chatting"/>
    <s v="Minecraft"/>
    <n v="7.6"/>
    <n v="1273"/>
    <n v="48758"/>
    <n v="2.8"/>
    <n v="13979"/>
    <n v="2410000"/>
    <n v="92800000"/>
    <n v="503"/>
    <n v="4.7"/>
    <s v="Wednesday"/>
    <x v="0"/>
    <n v="10344.087559911297"/>
    <x v="0"/>
    <n v="2.0231535269709545E-2"/>
  </r>
  <r>
    <n v="11"/>
    <x v="10"/>
    <x v="4"/>
    <x v="0"/>
    <s v="Dota 2"/>
    <m/>
    <n v="10.7"/>
    <n v="1629"/>
    <n v="0"/>
    <n v="1"/>
    <n v="2291"/>
    <n v="352000"/>
    <n v="0"/>
    <n v="1"/>
    <n v="2.8"/>
    <s v="Tuesday"/>
    <x v="1"/>
    <n v="9218.6817983413366"/>
    <x v="1"/>
    <n v="0"/>
  </r>
  <r>
    <n v="12"/>
    <x v="11"/>
    <x v="2"/>
    <x v="0"/>
    <s v="Grand Theft Auto V"/>
    <s v="Just Chatting"/>
    <n v="4.3"/>
    <n v="5295"/>
    <n v="30366"/>
    <n v="1.9"/>
    <n v="2623"/>
    <n v="2590000"/>
    <n v="14900000"/>
    <n v="68"/>
    <n v="2.8"/>
    <s v="Monday"/>
    <x v="0"/>
    <n v="59245.13915364087"/>
    <x v="1"/>
    <n v="1.1724324324324324E-2"/>
  </r>
  <r>
    <n v="13"/>
    <x v="12"/>
    <x v="5"/>
    <x v="0"/>
    <s v="Apex Legends"/>
    <s v="VALORANT"/>
    <n v="6.3"/>
    <n v="5460"/>
    <n v="23768"/>
    <n v="1.2"/>
    <n v="67"/>
    <n v="939000"/>
    <n v="38400000"/>
    <n v="136"/>
    <n v="5.2"/>
    <s v="Saturday"/>
    <x v="1"/>
    <n v="840895.52238805965"/>
    <x v="1"/>
    <n v="2.5312034078807243E-2"/>
  </r>
  <r>
    <n v="14"/>
    <x v="13"/>
    <x v="5"/>
    <x v="0"/>
    <s v="PUBG: BATTLEGROUNDS"/>
    <s v="Apex Legends"/>
    <n v="9.6"/>
    <n v="5170"/>
    <n v="49442"/>
    <n v="1.7"/>
    <n v="235"/>
    <n v="1420000"/>
    <n v="136000000"/>
    <n v="311"/>
    <n v="6.3"/>
    <s v="Monday"/>
    <x v="1"/>
    <n v="362553.19148936169"/>
    <x v="1"/>
    <n v="3.4818309859154926E-2"/>
  </r>
  <r>
    <n v="15"/>
    <x v="14"/>
    <x v="1"/>
    <x v="0"/>
    <s v="Just Chatting"/>
    <s v="Minecraft"/>
    <n v="4.5"/>
    <n v="2993"/>
    <n v="52631"/>
    <n v="1.7"/>
    <n v="7382"/>
    <n v="4090000"/>
    <n v="72000000"/>
    <n v="368"/>
    <n v="4.5"/>
    <s v="Thursday"/>
    <x v="1"/>
    <n v="33243.02357084801"/>
    <x v="1"/>
    <n v="1.2868215158924206E-2"/>
  </r>
  <r>
    <n v="16"/>
    <x v="15"/>
    <x v="0"/>
    <x v="0"/>
    <s v="Just Chatting"/>
    <s v="Grand Theft Auto V"/>
    <n v="7.4"/>
    <n v="1201"/>
    <n v="53092"/>
    <n v="1.5"/>
    <n v="15811"/>
    <n v="2570000"/>
    <n v="114000000"/>
    <n v="244"/>
    <n v="6.6"/>
    <s v="Tuesday"/>
    <x v="3"/>
    <n v="9752.7038138005191"/>
    <x v="1"/>
    <n v="2.0658365758754862E-2"/>
  </r>
  <r>
    <n v="17"/>
    <x v="16"/>
    <x v="3"/>
    <x v="0"/>
    <s v="Just Chatting"/>
    <s v="Fortnite"/>
    <n v="4.8"/>
    <n v="3495"/>
    <n v="10764"/>
    <n v="2.2000000000000002"/>
    <n v="714"/>
    <n v="5340000"/>
    <n v="156000000"/>
    <n v="114"/>
    <n v="3.8"/>
    <s v="Sunday"/>
    <x v="4"/>
    <n v="448739.49579831929"/>
    <x v="0"/>
    <n v="2.0157303370786517E-3"/>
  </r>
  <r>
    <n v="18"/>
    <x v="17"/>
    <x v="0"/>
    <x v="1"/>
    <s v="Apex Legends"/>
    <s v="Variety"/>
    <n v="5.3"/>
    <n v="5908"/>
    <n v="8679"/>
    <n v="1"/>
    <n v="1056"/>
    <n v="1210000"/>
    <n v="17800000"/>
    <n v="2"/>
    <n v="0.7"/>
    <s v="Monday"/>
    <x v="3"/>
    <n v="68750"/>
    <x v="1"/>
    <n v="7.1727272727272725E-3"/>
  </r>
  <r>
    <n v="19"/>
    <x v="18"/>
    <x v="6"/>
    <x v="1"/>
    <s v="League of Legends"/>
    <m/>
    <n v="5.6"/>
    <n v="6340"/>
    <n v="101849"/>
    <n v="1"/>
    <n v="2503"/>
    <n v="281000"/>
    <n v="44900000"/>
    <n v="1"/>
    <n v="2"/>
    <s v="Saturday"/>
    <x v="4"/>
    <n v="6735.9168997203351"/>
    <x v="1"/>
    <n v="0.36245195729537366"/>
  </r>
  <r>
    <n v="20"/>
    <x v="19"/>
    <x v="0"/>
    <x v="1"/>
    <s v="Dota 2"/>
    <m/>
    <n v="10.199999999999999"/>
    <n v="1457"/>
    <n v="111936"/>
    <n v="1"/>
    <n v="3421"/>
    <n v="450000"/>
    <n v="38100000"/>
    <n v="1"/>
    <n v="0.8"/>
    <s v="Saturday"/>
    <x v="1"/>
    <n v="7892.4291142940665"/>
    <x v="1"/>
    <n v="0.24874666666666667"/>
  </r>
  <r>
    <n v="21"/>
    <x v="20"/>
    <x v="0"/>
    <x v="0"/>
    <s v="Overwatch"/>
    <s v="Just Chatting"/>
    <n v="8.8000000000000007"/>
    <n v="5132"/>
    <n v="224584"/>
    <n v="3.3"/>
    <n v="21756"/>
    <n v="12000000"/>
    <n v="525000000"/>
    <n v="967"/>
    <n v="6.3"/>
    <s v="Wednesday"/>
    <x v="5"/>
    <n v="33094.318808604519"/>
    <x v="0"/>
    <n v="1.8715333333333334E-2"/>
  </r>
  <r>
    <n v="22"/>
    <x v="21"/>
    <x v="7"/>
    <x v="0"/>
    <s v="Grand Theft Auto V"/>
    <s v="Just Chatting"/>
    <n v="5.8"/>
    <n v="5358"/>
    <n v="5144"/>
    <n v="2.6"/>
    <n v="5903"/>
    <n v="5380000"/>
    <n v="50800000"/>
    <n v="196"/>
    <n v="5.3"/>
    <s v="Thursday"/>
    <x v="5"/>
    <n v="54684.058953074702"/>
    <x v="0"/>
    <n v="9.561338289962825E-4"/>
  </r>
  <r>
    <n v="23"/>
    <x v="22"/>
    <x v="5"/>
    <x v="0"/>
    <s v="Grand Theft Auto V"/>
    <s v="Minecraft"/>
    <n v="3.8"/>
    <n v="4060"/>
    <n v="507"/>
    <n v="1.2"/>
    <n v="5974"/>
    <n v="689000"/>
    <n v="8610000"/>
    <n v="172"/>
    <n v="4.0999999999999996"/>
    <s v="Saturday"/>
    <x v="1"/>
    <n v="6919.9866086374295"/>
    <x v="1"/>
    <n v="7.3584905660377354E-4"/>
  </r>
  <r>
    <n v="24"/>
    <x v="23"/>
    <x v="7"/>
    <x v="1"/>
    <s v="Counter-Strike"/>
    <s v="Among Us"/>
    <n v="22.5"/>
    <n v="2425"/>
    <n v="235565"/>
    <n v="2.5"/>
    <n v="52432"/>
    <n v="4139999"/>
    <n v="405000000"/>
    <n v="211"/>
    <n v="7"/>
    <s v="Monday"/>
    <x v="0"/>
    <n v="4737.5637015563016"/>
    <x v="0"/>
    <n v="5.6899772198012608E-2"/>
  </r>
  <r>
    <n v="25"/>
    <x v="24"/>
    <x v="7"/>
    <x v="0"/>
    <s v="Just Chatting"/>
    <s v="Virtual Casino"/>
    <n v="6.7"/>
    <n v="1404"/>
    <n v="0"/>
    <n v="1.3"/>
    <n v="2903"/>
    <n v="564000"/>
    <n v="5"/>
    <n v="19"/>
    <n v="4.2"/>
    <s v="Tuesday"/>
    <x v="0"/>
    <n v="11656.906648294867"/>
    <x v="1"/>
    <n v="0"/>
  </r>
  <r>
    <n v="26"/>
    <x v="25"/>
    <x v="3"/>
    <x v="0"/>
    <s v="Just Chatting"/>
    <s v="Fortnite"/>
    <n v="6.4"/>
    <n v="1914"/>
    <n v="23751"/>
    <n v="2.4"/>
    <n v="7332"/>
    <n v="1880000"/>
    <n v="23300000"/>
    <n v="95"/>
    <n v="3.9"/>
    <s v="Thursday"/>
    <x v="2"/>
    <n v="15384.615384615385"/>
    <x v="0"/>
    <n v="1.2633510638297872E-2"/>
  </r>
  <r>
    <n v="27"/>
    <x v="26"/>
    <x v="0"/>
    <x v="0"/>
    <s v="Grand Theft Auto V"/>
    <s v="Call of Duty: Warzone"/>
    <n v="6.8"/>
    <n v="4780"/>
    <n v="25866"/>
    <n v="1.2"/>
    <n v="986"/>
    <n v="655000"/>
    <n v="35400000"/>
    <n v="66"/>
    <n v="4.0999999999999996"/>
    <s v="Friday"/>
    <x v="2"/>
    <n v="39858.012170385395"/>
    <x v="1"/>
    <n v="3.9490076335877859E-2"/>
  </r>
  <r>
    <n v="29"/>
    <x v="27"/>
    <x v="0"/>
    <x v="0"/>
    <s v="World of Warcraft"/>
    <s v="Just Chatting"/>
    <n v="6.1"/>
    <n v="163"/>
    <n v="19883"/>
    <n v="1.7"/>
    <n v="6369"/>
    <n v="1790000"/>
    <n v="21800000"/>
    <n v="105"/>
    <n v="5.2"/>
    <s v="Monday"/>
    <x v="3"/>
    <n v="16862.929816297692"/>
    <x v="1"/>
    <n v="1.1107821229050279E-2"/>
  </r>
  <r>
    <n v="30"/>
    <x v="28"/>
    <x v="8"/>
    <x v="0"/>
    <s v="Just Chatting"/>
    <s v="Grand Theft Auto V"/>
    <n v="5.3"/>
    <n v="1172"/>
    <n v="18224"/>
    <n v="4"/>
    <n v="7991"/>
    <n v="1500000"/>
    <n v="23200000"/>
    <n v="466"/>
    <n v="3.9"/>
    <s v="Monday"/>
    <x v="5"/>
    <n v="11262.670504317357"/>
    <x v="0"/>
    <n v="1.2149333333333333E-2"/>
  </r>
  <r>
    <n v="31"/>
    <x v="29"/>
    <x v="0"/>
    <x v="1"/>
    <s v="Overwatch"/>
    <s v="Overwatch 2"/>
    <n v="7.2"/>
    <n v="5493"/>
    <n v="400009"/>
    <n v="1"/>
    <n v="717"/>
    <n v="1970000"/>
    <n v="240000000"/>
    <n v="2"/>
    <n v="1.4"/>
    <s v="Saturday"/>
    <x v="0"/>
    <n v="164853.55648535566"/>
    <x v="1"/>
    <n v="0.20305025380710659"/>
  </r>
  <r>
    <n v="32"/>
    <x v="30"/>
    <x v="0"/>
    <x v="0"/>
    <s v="PUBG: BATTLEGROUNDS"/>
    <s v="VALORANT"/>
    <n v="8"/>
    <n v="5394"/>
    <n v="28744"/>
    <n v="2"/>
    <n v="16781"/>
    <n v="10900000"/>
    <n v="571000000"/>
    <n v="354"/>
    <n v="5.4"/>
    <s v="Thursday"/>
    <x v="5"/>
    <n v="38972.647637208749"/>
    <x v="1"/>
    <n v="2.6370642201834862E-3"/>
  </r>
  <r>
    <n v="33"/>
    <x v="31"/>
    <x v="5"/>
    <x v="0"/>
    <s v="Street Fighter 6"/>
    <m/>
    <n v="6.9"/>
    <n v="16467"/>
    <n v="0"/>
    <n v="1"/>
    <n v="70"/>
    <n v="29100"/>
    <n v="0"/>
    <n v="1"/>
    <n v="1"/>
    <s v="Sunday"/>
    <x v="1"/>
    <n v="24942.857142857141"/>
    <x v="1"/>
    <n v="0"/>
  </r>
  <r>
    <n v="34"/>
    <x v="32"/>
    <x v="7"/>
    <x v="0"/>
    <s v="Grand Theft Auto V"/>
    <s v="Slots"/>
    <n v="3"/>
    <n v="6917"/>
    <n v="2030"/>
    <n v="1.2"/>
    <n v="1618"/>
    <n v="2930000"/>
    <n v="86000"/>
    <n v="15"/>
    <n v="2.5"/>
    <s v="Wednesday"/>
    <x v="4"/>
    <n v="108652.65760197776"/>
    <x v="1"/>
    <n v="6.9283276450511947E-4"/>
  </r>
  <r>
    <n v="35"/>
    <x v="33"/>
    <x v="2"/>
    <x v="0"/>
    <s v="Just Chatting"/>
    <s v="Garry's Mod"/>
    <n v="3.8"/>
    <n v="85"/>
    <n v="113477"/>
    <n v="1.8"/>
    <n v="2525"/>
    <n v="5030000"/>
    <n v="66700000"/>
    <n v="287"/>
    <n v="1.7"/>
    <s v="Thursday"/>
    <x v="0"/>
    <n v="119524.75247524751"/>
    <x v="1"/>
    <n v="2.2560039761431411E-2"/>
  </r>
  <r>
    <n v="36"/>
    <x v="34"/>
    <x v="2"/>
    <x v="0"/>
    <s v="League of Legends"/>
    <s v="Just Chatting"/>
    <n v="6.6"/>
    <n v="6470"/>
    <n v="37566"/>
    <n v="2.6"/>
    <n v="16141"/>
    <n v="1880000"/>
    <n v="108000000"/>
    <n v="604"/>
    <n v="6.2"/>
    <s v="Wednesday"/>
    <x v="1"/>
    <n v="6988.4145963694946"/>
    <x v="0"/>
    <n v="1.9981914893617021E-2"/>
  </r>
  <r>
    <n v="37"/>
    <x v="35"/>
    <x v="3"/>
    <x v="0"/>
    <s v="Just Chatting"/>
    <s v="Minecraft"/>
    <n v="6"/>
    <n v="1463"/>
    <n v="116486"/>
    <n v="2.7"/>
    <n v="7598"/>
    <n v="1680000"/>
    <n v="112000000"/>
    <n v="686"/>
    <n v="3.2"/>
    <s v="Friday"/>
    <x v="3"/>
    <n v="13266.649118188996"/>
    <x v="0"/>
    <n v="6.9336904761904766E-2"/>
  </r>
  <r>
    <n v="38"/>
    <x v="36"/>
    <x v="1"/>
    <x v="0"/>
    <s v="Sports"/>
    <s v="Fortnite"/>
    <n v="3.4"/>
    <n v="13617"/>
    <n v="0"/>
    <n v="1"/>
    <n v="1340"/>
    <n v="467000"/>
    <n v="0"/>
    <n v="3"/>
    <n v="1.3"/>
    <s v="Sunday"/>
    <x v="6"/>
    <n v="20910.447761194031"/>
    <x v="1"/>
    <n v="0"/>
  </r>
  <r>
    <n v="39"/>
    <x v="37"/>
    <x v="1"/>
    <x v="0"/>
    <s v="VALORANT"/>
    <s v="Counter-Strike"/>
    <n v="4.8"/>
    <n v="1124"/>
    <n v="27368"/>
    <n v="1.1000000000000001"/>
    <n v="4432"/>
    <n v="1090000"/>
    <n v="26400000"/>
    <n v="42"/>
    <n v="2.2999999999999998"/>
    <s v="Sunday"/>
    <x v="1"/>
    <n v="14756.317689530688"/>
    <x v="1"/>
    <n v="2.5108256880733947E-2"/>
  </r>
  <r>
    <n v="40"/>
    <x v="38"/>
    <x v="0"/>
    <x v="1"/>
    <s v="Brawl Stars"/>
    <s v="Variety"/>
    <n v="5.8"/>
    <n v="2048"/>
    <n v="54303"/>
    <n v="1"/>
    <n v="8260"/>
    <n v="332000"/>
    <n v="8800000"/>
    <n v="2"/>
    <n v="0.5"/>
    <s v="Sunday"/>
    <x v="3"/>
    <n v="2411.6222760290557"/>
    <x v="1"/>
    <n v="0.16356325301204819"/>
  </r>
  <r>
    <n v="41"/>
    <x v="39"/>
    <x v="0"/>
    <x v="0"/>
    <s v="Grand Theft Auto V"/>
    <s v="Escape from Tarkov"/>
    <n v="10.1"/>
    <n v="1861"/>
    <n v="162001"/>
    <n v="1.7"/>
    <n v="26449"/>
    <n v="6270000"/>
    <n v="505000000"/>
    <n v="328"/>
    <n v="6.7"/>
    <s v="Tuesday"/>
    <x v="0"/>
    <n v="14223.600136111007"/>
    <x v="1"/>
    <n v="2.5837480063795853E-2"/>
  </r>
  <r>
    <n v="42"/>
    <x v="40"/>
    <x v="0"/>
    <x v="0"/>
    <s v="Just Chatting"/>
    <s v="PUBG: BATTLEGROUNDS"/>
    <n v="6.6"/>
    <n v="6380"/>
    <n v="117105"/>
    <n v="4"/>
    <n v="15993"/>
    <n v="2970000"/>
    <n v="422000000"/>
    <n v="2710"/>
    <n v="6.1"/>
    <s v="Sunday"/>
    <x v="2"/>
    <n v="11142.374788970174"/>
    <x v="0"/>
    <n v="3.9429292929292932E-2"/>
  </r>
  <r>
    <n v="43"/>
    <x v="41"/>
    <x v="1"/>
    <x v="0"/>
    <s v="Grand Theft Auto V"/>
    <s v="Minecraft"/>
    <n v="5.6"/>
    <n v="4640"/>
    <n v="10358"/>
    <n v="1.3"/>
    <n v="7586"/>
    <n v="574000"/>
    <n v="12800000"/>
    <n v="44"/>
    <n v="5.0999999999999996"/>
    <s v="Friday"/>
    <x v="4"/>
    <n v="4539.9419984181386"/>
    <x v="1"/>
    <n v="1.8045296167247388E-2"/>
  </r>
  <r>
    <n v="44"/>
    <x v="42"/>
    <x v="0"/>
    <x v="0"/>
    <s v="Trackmania"/>
    <s v="TrackMania 2: Stadium"/>
    <n v="6"/>
    <n v="6090"/>
    <n v="6434"/>
    <n v="1.2"/>
    <n v="5162"/>
    <n v="501000"/>
    <n v="5290000"/>
    <n v="42"/>
    <n v="2.2999999999999998"/>
    <s v="Friday"/>
    <x v="0"/>
    <n v="5823.324292909725"/>
    <x v="1"/>
    <n v="1.2842315369261477E-2"/>
  </r>
  <r>
    <n v="45"/>
    <x v="43"/>
    <x v="0"/>
    <x v="0"/>
    <s v="Warframe"/>
    <s v="Special Events"/>
    <n v="1.2"/>
    <n v="1896"/>
    <n v="30886"/>
    <n v="1"/>
    <n v="1416"/>
    <n v="2080000"/>
    <n v="36300000"/>
    <n v="2"/>
    <n v="3.1"/>
    <s v="Friday"/>
    <x v="0"/>
    <n v="88135.593220338982"/>
    <x v="1"/>
    <n v="1.4849038461538462E-2"/>
  </r>
  <r>
    <n v="46"/>
    <x v="44"/>
    <x v="0"/>
    <x v="0"/>
    <s v="Apex Legends"/>
    <s v="Call of Duty: Warzone"/>
    <n v="6.3"/>
    <n v="4840"/>
    <n v="9867"/>
    <n v="1.1000000000000001"/>
    <n v="10622"/>
    <n v="800000"/>
    <n v="16300000"/>
    <n v="49"/>
    <n v="6.1"/>
    <s v="Tuesday"/>
    <x v="1"/>
    <n v="4518.9229900207119"/>
    <x v="1"/>
    <n v="1.2333749999999999E-2"/>
  </r>
  <r>
    <n v="47"/>
    <x v="45"/>
    <x v="5"/>
    <x v="0"/>
    <s v="Apex Legends"/>
    <s v="PUBG: BATTLEGROUNDS"/>
    <n v="7.6"/>
    <n v="4870"/>
    <n v="60412"/>
    <n v="1.5"/>
    <n v="14593"/>
    <n v="1050000"/>
    <n v="129000000"/>
    <n v="324"/>
    <n v="4.9000000000000004"/>
    <s v="Friday"/>
    <x v="1"/>
    <n v="4317.1383540053448"/>
    <x v="1"/>
    <n v="5.7535238095238098E-2"/>
  </r>
  <r>
    <n v="48"/>
    <x v="46"/>
    <x v="0"/>
    <x v="1"/>
    <s v="Rocket League"/>
    <m/>
    <n v="5"/>
    <n v="4823"/>
    <n v="349645"/>
    <n v="1"/>
    <n v="426"/>
    <n v="4220000"/>
    <n v="312000000"/>
    <n v="1"/>
    <n v="2.2000000000000002"/>
    <s v="Sunday"/>
    <x v="1"/>
    <n v="594366.19718309864"/>
    <x v="1"/>
    <n v="8.2854265402843602E-2"/>
  </r>
  <r>
    <n v="49"/>
    <x v="47"/>
    <x v="0"/>
    <x v="0"/>
    <s v="Teamfight Tactics"/>
    <s v="Fortnite"/>
    <n v="8.3000000000000007"/>
    <n v="4780"/>
    <n v="1794"/>
    <n v="1.1000000000000001"/>
    <n v="10868"/>
    <n v="583000"/>
    <n v="21900000"/>
    <n v="24"/>
    <n v="4.0999999999999996"/>
    <s v="Wednesday"/>
    <x v="1"/>
    <n v="3218.6234817813765"/>
    <x v="1"/>
    <n v="3.0771869639794167E-3"/>
  </r>
  <r>
    <n v="50"/>
    <x v="48"/>
    <x v="1"/>
    <x v="0"/>
    <s v="Just Chatting"/>
    <s v="Minecraft"/>
    <n v="4.7"/>
    <n v="11592"/>
    <n v="212445"/>
    <n v="3.1"/>
    <n v="6806"/>
    <n v="15000000"/>
    <n v="273000000"/>
    <n v="616"/>
    <n v="5"/>
    <s v="Sunday"/>
    <x v="6"/>
    <n v="132236.26212165735"/>
    <x v="0"/>
    <n v="1.4163E-2"/>
  </r>
  <r>
    <n v="51"/>
    <x v="49"/>
    <x v="4"/>
    <x v="0"/>
    <s v="Just Chatting"/>
    <s v="Virtual Casino"/>
    <n v="2.9"/>
    <n v="3009"/>
    <n v="0"/>
    <n v="1.1000000000000001"/>
    <n v="138"/>
    <n v="1820000"/>
    <n v="464"/>
    <n v="14"/>
    <n v="4.5"/>
    <s v="Sunday"/>
    <x v="1"/>
    <n v="791304.34782608703"/>
    <x v="1"/>
    <n v="0"/>
  </r>
  <r>
    <n v="52"/>
    <x v="50"/>
    <x v="0"/>
    <x v="0"/>
    <s v="VALORANT"/>
    <s v="Counter-Strike"/>
    <n v="4.2"/>
    <n v="405"/>
    <n v="53836"/>
    <n v="1.4"/>
    <n v="44"/>
    <n v="3970000"/>
    <n v="52800000"/>
    <n v="99"/>
    <n v="2.7"/>
    <s v="Saturday"/>
    <x v="1"/>
    <n v="5413636.3636363642"/>
    <x v="1"/>
    <n v="1.3560705289672544E-2"/>
  </r>
  <r>
    <n v="53"/>
    <x v="51"/>
    <x v="2"/>
    <x v="1"/>
    <s v="League of Legends"/>
    <s v="Just Chatting"/>
    <n v="23.6"/>
    <n v="5060"/>
    <n v="72599"/>
    <n v="1"/>
    <n v="26839"/>
    <n v="731000"/>
    <n v="100000000"/>
    <n v="7"/>
    <n v="6.5"/>
    <s v="Friday"/>
    <x v="6"/>
    <n v="1634.1890532434145"/>
    <x v="1"/>
    <n v="9.9314637482900134E-2"/>
  </r>
  <r>
    <n v="54"/>
    <x v="52"/>
    <x v="7"/>
    <x v="0"/>
    <s v="Just Chatting"/>
    <s v="Sports"/>
    <n v="6.2"/>
    <n v="3446"/>
    <n v="33501"/>
    <n v="2"/>
    <n v="6786"/>
    <n v="3880000"/>
    <n v="37800000"/>
    <n v="75"/>
    <n v="3.7"/>
    <s v="Monday"/>
    <x v="1"/>
    <n v="34305.923961096378"/>
    <x v="1"/>
    <n v="8.6342783505154643E-3"/>
  </r>
  <r>
    <n v="55"/>
    <x v="53"/>
    <x v="2"/>
    <x v="0"/>
    <s v="Grand Theft Auto V"/>
    <s v="Just Chatting"/>
    <n v="4.5"/>
    <n v="125"/>
    <n v="0"/>
    <n v="1.8"/>
    <n v="2057"/>
    <n v="553000"/>
    <n v="0"/>
    <n v="28"/>
    <n v="4.2"/>
    <s v="Wednesday"/>
    <x v="1"/>
    <n v="16130.286825473991"/>
    <x v="1"/>
    <n v="0"/>
  </r>
  <r>
    <n v="56"/>
    <x v="54"/>
    <x v="0"/>
    <x v="0"/>
    <s v="Software and Game Development"/>
    <s v="Science &amp; Technology"/>
    <n v="7.3"/>
    <n v="4270"/>
    <n v="4460"/>
    <n v="1.3"/>
    <n v="12373"/>
    <n v="721000"/>
    <n v="756000"/>
    <n v="173"/>
    <n v="4.8"/>
    <s v="Monday"/>
    <x v="2"/>
    <n v="3496.3226380021015"/>
    <x v="1"/>
    <n v="6.185852981969487E-3"/>
  </r>
  <r>
    <n v="57"/>
    <x v="55"/>
    <x v="7"/>
    <x v="0"/>
    <s v="Just Chatting"/>
    <s v="Fortnite"/>
    <n v="5.8"/>
    <n v="4221"/>
    <n v="122314"/>
    <n v="2.9"/>
    <n v="11794"/>
    <n v="7110000"/>
    <n v="206000000"/>
    <n v="906"/>
    <n v="5.2"/>
    <s v="Thursday"/>
    <x v="3"/>
    <n v="36170.934373410208"/>
    <x v="0"/>
    <n v="1.7203094233473982E-2"/>
  </r>
  <r>
    <n v="58"/>
    <x v="56"/>
    <x v="0"/>
    <x v="1"/>
    <s v="VALORANT"/>
    <m/>
    <n v="5.9"/>
    <n v="2796"/>
    <n v="43529"/>
    <n v="1"/>
    <n v="1614"/>
    <n v="752000"/>
    <n v="11700000"/>
    <n v="1"/>
    <n v="1.5"/>
    <s v="Saturday"/>
    <x v="1"/>
    <n v="27955.390334572494"/>
    <x v="1"/>
    <n v="5.7884308510638298E-2"/>
  </r>
  <r>
    <n v="59"/>
    <x v="57"/>
    <x v="0"/>
    <x v="0"/>
    <s v="VALORANT"/>
    <s v="Counter-Strike"/>
    <n v="6"/>
    <n v="9870"/>
    <n v="2700"/>
    <n v="1.1000000000000001"/>
    <n v="1967"/>
    <n v="333000"/>
    <n v="171000"/>
    <n v="13"/>
    <n v="0.9"/>
    <s v="Thursday"/>
    <x v="1"/>
    <n v="10157.600406710728"/>
    <x v="1"/>
    <n v="8.1081081081081086E-3"/>
  </r>
  <r>
    <n v="60"/>
    <x v="58"/>
    <x v="8"/>
    <x v="0"/>
    <s v="Just Chatting"/>
    <m/>
    <n v="6.2"/>
    <n v="5017"/>
    <n v="0"/>
    <n v="1"/>
    <n v="1910"/>
    <n v="158000"/>
    <n v="0"/>
    <n v="1"/>
    <n v="0.6"/>
    <s v="Friday"/>
    <x v="1"/>
    <n v="4963.3507853403144"/>
    <x v="1"/>
    <n v="0"/>
  </r>
  <r>
    <n v="61"/>
    <x v="59"/>
    <x v="1"/>
    <x v="0"/>
    <s v="Grand Theft Auto V"/>
    <s v="World of Warcraft"/>
    <n v="4.5"/>
    <n v="6163"/>
    <n v="11542"/>
    <n v="1.5"/>
    <n v="2480"/>
    <n v="335000"/>
    <n v="759000"/>
    <n v="11"/>
    <n v="0.2"/>
    <s v="Tuesday"/>
    <x v="1"/>
    <n v="8104.8387096774186"/>
    <x v="1"/>
    <n v="3.4453731343283583E-2"/>
  </r>
  <r>
    <n v="62"/>
    <x v="60"/>
    <x v="0"/>
    <x v="0"/>
    <s v="Counter-Strike"/>
    <s v="Just Chatting"/>
    <n v="6.4"/>
    <n v="1309"/>
    <n v="279"/>
    <n v="1.2"/>
    <n v="6041"/>
    <n v="1260000"/>
    <n v="2690000"/>
    <n v="40"/>
    <n v="4.3"/>
    <s v="Sunday"/>
    <x v="3"/>
    <n v="12514.484356894553"/>
    <x v="1"/>
    <n v="2.2142857142857142E-4"/>
  </r>
  <r>
    <n v="63"/>
    <x v="61"/>
    <x v="0"/>
    <x v="0"/>
    <s v="Apex Legends"/>
    <s v="Fortnite"/>
    <n v="6.3"/>
    <n v="1281"/>
    <n v="44445"/>
    <n v="1"/>
    <n v="10637"/>
    <n v="2029999"/>
    <n v="70500000"/>
    <n v="36"/>
    <n v="4.9000000000000004"/>
    <s v="Thursday"/>
    <x v="1"/>
    <n v="11450.591332142521"/>
    <x v="1"/>
    <n v="2.1894099455221406E-2"/>
  </r>
  <r>
    <n v="64"/>
    <x v="62"/>
    <x v="0"/>
    <x v="0"/>
    <s v="Just Chatting"/>
    <s v="World of Warcraft"/>
    <n v="5.5"/>
    <n v="1443"/>
    <n v="71268"/>
    <n v="2"/>
    <n v="9697"/>
    <n v="2080000"/>
    <n v="103000000"/>
    <n v="323"/>
    <n v="4.7"/>
    <s v="Wednesday"/>
    <x v="2"/>
    <n v="12869.959781375683"/>
    <x v="1"/>
    <n v="3.4263461538461541E-2"/>
  </r>
  <r>
    <n v="65"/>
    <x v="63"/>
    <x v="5"/>
    <x v="0"/>
    <s v="VALORANT"/>
    <s v="Just Chatting"/>
    <n v="5.0999999999999996"/>
    <n v="9901"/>
    <n v="49751"/>
    <n v="1"/>
    <n v="210"/>
    <n v="40400"/>
    <n v="201000"/>
    <n v="3"/>
    <n v="0"/>
    <s v="Friday"/>
    <x v="4"/>
    <n v="11542.857142857143"/>
    <x v="1"/>
    <n v="1.231460396039604"/>
  </r>
  <r>
    <n v="66"/>
    <x v="64"/>
    <x v="1"/>
    <x v="0"/>
    <s v="Just Chatting"/>
    <s v="Minecraft"/>
    <n v="3.7"/>
    <n v="11093"/>
    <n v="38471"/>
    <n v="2.5"/>
    <n v="3404"/>
    <n v="9610000"/>
    <n v="33299999"/>
    <n v="328"/>
    <n v="4.2"/>
    <s v="Wednesday"/>
    <x v="4"/>
    <n v="169388.95417156286"/>
    <x v="0"/>
    <n v="4.003225806451613E-3"/>
  </r>
  <r>
    <n v="67"/>
    <x v="65"/>
    <x v="0"/>
    <x v="0"/>
    <s v="Grand Theft Auto V"/>
    <s v="FIFA 23"/>
    <n v="4.8"/>
    <n v="1029"/>
    <n v="3480"/>
    <n v="1.7"/>
    <n v="4668"/>
    <n v="935000"/>
    <n v="316000"/>
    <n v="80"/>
    <n v="5.0999999999999996"/>
    <s v="Friday"/>
    <x v="1"/>
    <n v="12017.994858611826"/>
    <x v="1"/>
    <n v="3.7219251336898396E-3"/>
  </r>
  <r>
    <n v="68"/>
    <x v="66"/>
    <x v="0"/>
    <x v="0"/>
    <s v="Escape from Tarkov"/>
    <s v="Call of Duty: Warzone"/>
    <n v="9.1"/>
    <n v="8000"/>
    <n v="39761"/>
    <n v="1.2"/>
    <n v="14685"/>
    <n v="1260000"/>
    <n v="62700000"/>
    <n v="62"/>
    <n v="6.8"/>
    <s v="Monday"/>
    <x v="3"/>
    <n v="5148.1103166496423"/>
    <x v="1"/>
    <n v="3.1556349206349206E-2"/>
  </r>
  <r>
    <n v="69"/>
    <x v="67"/>
    <x v="0"/>
    <x v="0"/>
    <s v="Just Chatting"/>
    <s v="World of Warcraft"/>
    <n v="4.0999999999999996"/>
    <n v="5500"/>
    <n v="29722"/>
    <n v="1.4"/>
    <n v="694"/>
    <n v="1100000"/>
    <n v="54700000"/>
    <n v="161"/>
    <n v="4.3"/>
    <s v="Saturday"/>
    <x v="0"/>
    <n v="95100.864553314124"/>
    <x v="1"/>
    <n v="2.7019999999999999E-2"/>
  </r>
  <r>
    <n v="70"/>
    <x v="68"/>
    <x v="7"/>
    <x v="0"/>
    <s v="Just Chatting"/>
    <s v="Grand Theft Auto V"/>
    <n v="4.3"/>
    <n v="6750"/>
    <n v="1520"/>
    <n v="2.4"/>
    <n v="4065"/>
    <n v="612000"/>
    <n v="138000"/>
    <n v="219"/>
    <n v="6.7"/>
    <s v="Wednesday"/>
    <x v="3"/>
    <n v="9033.210332103321"/>
    <x v="0"/>
    <n v="2.4836601307189543E-3"/>
  </r>
  <r>
    <n v="71"/>
    <x v="69"/>
    <x v="0"/>
    <x v="0"/>
    <s v="League of Legends"/>
    <s v="IRL"/>
    <n v="7.7"/>
    <n v="303"/>
    <n v="178397"/>
    <n v="1.3"/>
    <n v="14679"/>
    <n v="5310000"/>
    <n v="301000000"/>
    <n v="187"/>
    <n v="4.8"/>
    <s v="Wednesday"/>
    <x v="4"/>
    <n v="21704.475781729001"/>
    <x v="1"/>
    <n v="3.359642184557439E-2"/>
  </r>
  <r>
    <n v="72"/>
    <x v="70"/>
    <x v="5"/>
    <x v="1"/>
    <s v="VALORANT"/>
    <s v="Variety"/>
    <n v="7.5"/>
    <n v="1378"/>
    <n v="5846"/>
    <n v="1"/>
    <n v="2985"/>
    <n v="554000"/>
    <n v="23400000"/>
    <n v="2"/>
    <n v="1.9"/>
    <s v="Sunday"/>
    <x v="0"/>
    <n v="11135.678391959798"/>
    <x v="1"/>
    <n v="1.0552346570397112E-2"/>
  </r>
  <r>
    <n v="73"/>
    <x v="71"/>
    <x v="4"/>
    <x v="0"/>
    <s v="Just Chatting"/>
    <s v="Counter-Strike"/>
    <n v="4.9000000000000004"/>
    <n v="1533"/>
    <n v="60566"/>
    <n v="1.8"/>
    <n v="8865"/>
    <n v="2900000"/>
    <n v="114000000"/>
    <n v="482"/>
    <n v="4.7"/>
    <s v="Thursday"/>
    <x v="6"/>
    <n v="19627.749576988157"/>
    <x v="1"/>
    <n v="2.0884827586206897E-2"/>
  </r>
  <r>
    <n v="74"/>
    <x v="72"/>
    <x v="3"/>
    <x v="0"/>
    <s v="League of Legends"/>
    <s v="VALORANT"/>
    <n v="7.6"/>
    <n v="1520"/>
    <n v="23556"/>
    <n v="1.2"/>
    <n v="19176"/>
    <n v="679000"/>
    <n v="101000000"/>
    <n v="101"/>
    <n v="6.5"/>
    <s v="Wednesday"/>
    <x v="1"/>
    <n v="2124.5306633291611"/>
    <x v="1"/>
    <n v="3.4692194403534611E-2"/>
  </r>
  <r>
    <n v="75"/>
    <x v="73"/>
    <x v="0"/>
    <x v="0"/>
    <s v="Just Chatting"/>
    <s v="Minecraft"/>
    <n v="6.2"/>
    <n v="5020"/>
    <n v="51554"/>
    <n v="2.7"/>
    <n v="14686"/>
    <n v="1750000"/>
    <n v="171000000"/>
    <n v="1334"/>
    <n v="6.1"/>
    <s v="Wednesday"/>
    <x v="1"/>
    <n v="7149.6663489037173"/>
    <x v="0"/>
    <n v="2.945942857142857E-2"/>
  </r>
  <r>
    <n v="76"/>
    <x v="74"/>
    <x v="0"/>
    <x v="1"/>
    <s v="FIFA 21"/>
    <s v="FIFA 22"/>
    <n v="4.8"/>
    <n v="7474"/>
    <n v="129293"/>
    <n v="1"/>
    <n v="2203"/>
    <n v="3520000"/>
    <n v="63100000"/>
    <n v="10"/>
    <n v="1.2"/>
    <s v="Friday"/>
    <x v="5"/>
    <n v="95869.269178393093"/>
    <x v="1"/>
    <n v="3.6730965909090911E-2"/>
  </r>
  <r>
    <n v="77"/>
    <x v="75"/>
    <x v="1"/>
    <x v="0"/>
    <s v="Just Chatting"/>
    <s v="Grand Theft Auto V"/>
    <n v="3.6"/>
    <n v="9210"/>
    <n v="880"/>
    <n v="1.5"/>
    <n v="2652"/>
    <n v="723000"/>
    <n v="68800"/>
    <n v="55"/>
    <n v="5.6"/>
    <s v="Wednesday"/>
    <x v="2"/>
    <n v="16357.466063348415"/>
    <x v="1"/>
    <n v="1.2171507607192254E-3"/>
  </r>
  <r>
    <n v="78"/>
    <x v="76"/>
    <x v="9"/>
    <x v="0"/>
    <s v="Just Chatting"/>
    <s v="Grand Theft Auto V"/>
    <n v="5.8"/>
    <n v="2324"/>
    <n v="16052"/>
    <n v="2.2000000000000002"/>
    <n v="3025"/>
    <n v="1150000"/>
    <n v="9490000"/>
    <n v="205"/>
    <n v="2.9"/>
    <s v="Tuesday"/>
    <x v="2"/>
    <n v="22809.917355371901"/>
    <x v="0"/>
    <n v="1.3958260869565217E-2"/>
  </r>
  <r>
    <n v="79"/>
    <x v="77"/>
    <x v="0"/>
    <x v="0"/>
    <s v="VALORANT"/>
    <s v="Counter-Strike"/>
    <n v="5.8"/>
    <n v="7410"/>
    <n v="11273"/>
    <n v="1.3"/>
    <n v="856"/>
    <n v="1140000"/>
    <n v="17400000"/>
    <n v="72"/>
    <n v="4.2"/>
    <s v="Tuesday"/>
    <x v="1"/>
    <n v="79906.542056074759"/>
    <x v="1"/>
    <n v="9.8885964912280699E-3"/>
  </r>
  <r>
    <n v="80"/>
    <x v="78"/>
    <x v="0"/>
    <x v="1"/>
    <s v="Tom Clancy's Rainbow Six Siege"/>
    <s v="Variety"/>
    <n v="7.4"/>
    <n v="2031"/>
    <n v="82334"/>
    <n v="1"/>
    <n v="8775"/>
    <n v="2830000"/>
    <n v="115000000"/>
    <n v="2"/>
    <n v="3"/>
    <s v="Thursday"/>
    <x v="1"/>
    <n v="19350.427350427351"/>
    <x v="1"/>
    <n v="2.9093286219081273E-2"/>
  </r>
  <r>
    <n v="81"/>
    <x v="79"/>
    <x v="5"/>
    <x v="0"/>
    <s v="Grand Theft Auto V"/>
    <s v="VALORANT"/>
    <n v="6.3"/>
    <n v="2010"/>
    <n v="440"/>
    <n v="1.1000000000000001"/>
    <n v="5182"/>
    <n v="267000"/>
    <n v="58000"/>
    <n v="55"/>
    <n v="2.5"/>
    <s v="Sunday"/>
    <x v="0"/>
    <n v="3091.4704747201854"/>
    <x v="1"/>
    <n v="1.647940074906367E-3"/>
  </r>
  <r>
    <n v="82"/>
    <x v="80"/>
    <x v="0"/>
    <x v="0"/>
    <s v="World of Warcraft"/>
    <s v="Just Chatting"/>
    <n v="7"/>
    <n v="4259"/>
    <n v="14594"/>
    <n v="3.9"/>
    <n v="14929"/>
    <n v="8890000"/>
    <n v="398000000"/>
    <n v="2084"/>
    <n v="5.4"/>
    <s v="Saturday"/>
    <x v="3"/>
    <n v="35729.117824368681"/>
    <x v="0"/>
    <n v="1.6416197975253094E-3"/>
  </r>
  <r>
    <n v="83"/>
    <x v="81"/>
    <x v="1"/>
    <x v="0"/>
    <s v="Just Chatting"/>
    <s v="Grand Theft Auto V"/>
    <n v="2.7"/>
    <n v="1282"/>
    <n v="11461"/>
    <n v="1.2"/>
    <n v="2918"/>
    <n v="1460000"/>
    <n v="13000000"/>
    <n v="47"/>
    <n v="2.8"/>
    <s v="Sunday"/>
    <x v="1"/>
    <n v="30020.562028786841"/>
    <x v="1"/>
    <n v="7.8499999999999993E-3"/>
  </r>
  <r>
    <n v="84"/>
    <x v="82"/>
    <x v="2"/>
    <x v="0"/>
    <s v="Grand Theft Auto V"/>
    <s v="Just Chatting"/>
    <n v="6.1"/>
    <n v="6300"/>
    <n v="25285"/>
    <n v="2.8"/>
    <n v="12057"/>
    <n v="1250000"/>
    <n v="50300000"/>
    <n v="239"/>
    <n v="5.9"/>
    <s v="Wednesday"/>
    <x v="1"/>
    <n v="6220.4528489674049"/>
    <x v="0"/>
    <n v="2.0227999999999999E-2"/>
  </r>
  <r>
    <n v="85"/>
    <x v="83"/>
    <x v="0"/>
    <x v="0"/>
    <s v="League of Legends"/>
    <s v="Just Chatting"/>
    <n v="3.1"/>
    <n v="1614"/>
    <n v="17198"/>
    <n v="1.5"/>
    <n v="3867"/>
    <n v="1510000"/>
    <n v="16100000"/>
    <n v="133"/>
    <n v="3.2"/>
    <s v="Thursday"/>
    <x v="2"/>
    <n v="23429.014740108611"/>
    <x v="1"/>
    <n v="1.1389403973509933E-2"/>
  </r>
  <r>
    <n v="86"/>
    <x v="84"/>
    <x v="4"/>
    <x v="0"/>
    <s v="PUBG: BATTLEGROUNDS"/>
    <s v="Call of Duty: Warzone"/>
    <n v="7.7"/>
    <n v="5270"/>
    <n v="3073"/>
    <n v="1.6"/>
    <n v="16864"/>
    <n v="1270000"/>
    <n v="74300000"/>
    <n v="157"/>
    <n v="6.3"/>
    <s v="Tuesday"/>
    <x v="6"/>
    <n v="4518.5009487666039"/>
    <x v="1"/>
    <n v="2.4196850393700788E-3"/>
  </r>
  <r>
    <n v="87"/>
    <x v="85"/>
    <x v="5"/>
    <x v="0"/>
    <s v="Grand Theft Auto V"/>
    <s v="VALORANT"/>
    <n v="5.2"/>
    <n v="9370"/>
    <n v="2659"/>
    <n v="1.4"/>
    <n v="2724"/>
    <n v="582000"/>
    <n v="1650000"/>
    <n v="66"/>
    <n v="1.7"/>
    <s v="Friday"/>
    <x v="0"/>
    <n v="12819.383259911894"/>
    <x v="1"/>
    <n v="4.5687285223367695E-3"/>
  </r>
  <r>
    <n v="88"/>
    <x v="86"/>
    <x v="7"/>
    <x v="0"/>
    <s v="League of Legends"/>
    <s v="Just Chatting"/>
    <n v="8.4"/>
    <n v="8790"/>
    <n v="53242"/>
    <n v="1.1000000000000001"/>
    <n v="10107"/>
    <n v="1000000"/>
    <n v="60500000"/>
    <n v="22"/>
    <n v="3.1"/>
    <s v="Saturday"/>
    <x v="0"/>
    <n v="5936.4796675571388"/>
    <x v="1"/>
    <n v="5.3241999999999998E-2"/>
  </r>
  <r>
    <n v="89"/>
    <x v="87"/>
    <x v="0"/>
    <x v="0"/>
    <s v="Overwatch"/>
    <s v="Grand Theft Auto V"/>
    <n v="6.1"/>
    <n v="3690"/>
    <n v="34598"/>
    <n v="1.3"/>
    <n v="15957"/>
    <n v="1190000"/>
    <n v="99500000"/>
    <n v="561"/>
    <n v="6.7"/>
    <s v="Tuesday"/>
    <x v="3"/>
    <n v="4474.525286708028"/>
    <x v="1"/>
    <n v="2.9073949579831934E-2"/>
  </r>
  <r>
    <n v="90"/>
    <x v="88"/>
    <x v="0"/>
    <x v="0"/>
    <s v="League of Legends"/>
    <s v="Overwatch 2"/>
    <n v="5.5"/>
    <n v="9430"/>
    <n v="16707"/>
    <n v="1"/>
    <n v="7317"/>
    <n v="1250000"/>
    <n v="22100000"/>
    <n v="14"/>
    <n v="4.4000000000000004"/>
    <s v="Monday"/>
    <x v="1"/>
    <n v="10250.10250102501"/>
    <x v="1"/>
    <n v="1.33656E-2"/>
  </r>
  <r>
    <n v="91"/>
    <x v="89"/>
    <x v="0"/>
    <x v="0"/>
    <s v="Counter-Strike"/>
    <m/>
    <n v="6"/>
    <n v="2560"/>
    <n v="18637"/>
    <n v="1"/>
    <n v="6078"/>
    <n v="147000"/>
    <n v="14200000"/>
    <n v="1"/>
    <n v="1.5"/>
    <s v="Tuesday"/>
    <x v="4"/>
    <n v="1451.1352418558736"/>
    <x v="1"/>
    <n v="0.12678231292517006"/>
  </r>
  <r>
    <n v="92"/>
    <x v="90"/>
    <x v="1"/>
    <x v="0"/>
    <s v="Just Chatting"/>
    <s v="Grand Theft Auto V"/>
    <n v="4.5"/>
    <n v="6830"/>
    <n v="3173"/>
    <n v="1.9"/>
    <n v="5713"/>
    <n v="909000"/>
    <n v="4220000"/>
    <n v="210"/>
    <n v="5.8"/>
    <s v="Wednesday"/>
    <x v="1"/>
    <n v="9546.6479957990541"/>
    <x v="1"/>
    <n v="3.4906490649064905E-3"/>
  </r>
  <r>
    <n v="93"/>
    <x v="91"/>
    <x v="3"/>
    <x v="0"/>
    <s v="PUBG: BATTLEGROUNDS"/>
    <s v="Fortnite"/>
    <n v="4.8"/>
    <n v="2405"/>
    <n v="50115"/>
    <n v="1.7"/>
    <n v="1944"/>
    <n v="1120000"/>
    <n v="22500000"/>
    <n v="155"/>
    <n v="1"/>
    <s v="Wednesday"/>
    <x v="0"/>
    <n v="34567.9012345679"/>
    <x v="1"/>
    <n v="4.4745535714285717E-2"/>
  </r>
  <r>
    <n v="94"/>
    <x v="92"/>
    <x v="5"/>
    <x v="1"/>
    <s v="Apex Legends"/>
    <s v="VALORANT"/>
    <n v="7.8"/>
    <n v="248"/>
    <n v="36289"/>
    <n v="1"/>
    <n v="6740"/>
    <n v="209000"/>
    <n v="3050000"/>
    <n v="5"/>
    <n v="0.5"/>
    <s v="Sunday"/>
    <x v="0"/>
    <n v="1860.5341246290802"/>
    <x v="1"/>
    <n v="0.17363157894736841"/>
  </r>
  <r>
    <n v="95"/>
    <x v="93"/>
    <x v="7"/>
    <x v="0"/>
    <s v="VALORANT"/>
    <s v="Virtual Casino"/>
    <n v="7.8"/>
    <n v="4450"/>
    <n v="2648"/>
    <n v="1.1000000000000001"/>
    <n v="8245"/>
    <n v="481000"/>
    <n v="2860000"/>
    <n v="29"/>
    <n v="4.8"/>
    <s v="Wednesday"/>
    <x v="1"/>
    <n v="3500.303214069133"/>
    <x v="1"/>
    <n v="5.5051975051975052E-3"/>
  </r>
  <r>
    <n v="96"/>
    <x v="94"/>
    <x v="0"/>
    <x v="1"/>
    <s v="Dota 2"/>
    <m/>
    <n v="20.3"/>
    <n v="6060"/>
    <n v="54843"/>
    <n v="1"/>
    <n v="34047"/>
    <n v="802000"/>
    <n v="93100000"/>
    <n v="1"/>
    <n v="4.4000000000000004"/>
    <s v="Friday"/>
    <x v="1"/>
    <n v="1413.3403824125473"/>
    <x v="1"/>
    <n v="6.8382793017456353E-2"/>
  </r>
  <r>
    <n v="97"/>
    <x v="95"/>
    <x v="9"/>
    <x v="0"/>
    <s v="League of Legends"/>
    <s v="Just Chatting"/>
    <n v="6.4"/>
    <n v="1457"/>
    <n v="76275"/>
    <n v="2"/>
    <n v="5564"/>
    <n v="1030000"/>
    <n v="53700000"/>
    <n v="132"/>
    <n v="2.2000000000000002"/>
    <s v="Sunday"/>
    <x v="1"/>
    <n v="11107.117181883537"/>
    <x v="1"/>
    <n v="7.4053398058252423E-2"/>
  </r>
  <r>
    <n v="98"/>
    <x v="96"/>
    <x v="4"/>
    <x v="0"/>
    <s v="Dota 2"/>
    <s v="Just Chatting"/>
    <n v="3.9"/>
    <n v="114"/>
    <n v="7175"/>
    <n v="1.1000000000000001"/>
    <n v="2873"/>
    <n v="868000"/>
    <n v="5470000"/>
    <n v="14"/>
    <n v="3.2"/>
    <s v="Monday"/>
    <x v="2"/>
    <n v="18127.39296902193"/>
    <x v="1"/>
    <n v="8.2661290322580648E-3"/>
  </r>
  <r>
    <n v="99"/>
    <x v="97"/>
    <x v="0"/>
    <x v="0"/>
    <s v="Dota 2"/>
    <s v="PUBG: BATTLEGROUNDS"/>
    <n v="6.6"/>
    <n v="3120"/>
    <n v="3621"/>
    <n v="1.1000000000000001"/>
    <n v="15475"/>
    <n v="720000"/>
    <n v="83400000"/>
    <n v="88"/>
    <n v="6.2"/>
    <s v="Monday"/>
    <x v="2"/>
    <n v="2791.5993537964455"/>
    <x v="1"/>
    <n v="5.029166666666667E-3"/>
  </r>
  <r>
    <n v="100"/>
    <x v="98"/>
    <x v="4"/>
    <x v="0"/>
    <s v="Just Chatting"/>
    <s v="Fortnite"/>
    <n v="3.2"/>
    <n v="2963"/>
    <n v="85485"/>
    <n v="1.7"/>
    <n v="4024"/>
    <n v="3950000"/>
    <n v="114000000"/>
    <n v="125"/>
    <n v="3.5"/>
    <s v="Wednesday"/>
    <x v="3"/>
    <n v="58896.620278330025"/>
    <x v="1"/>
    <n v="2.1641772151898733E-2"/>
  </r>
  <r>
    <n v="101"/>
    <x v="99"/>
    <x v="2"/>
    <x v="0"/>
    <s v="Just Chatting"/>
    <s v="League of Legends"/>
    <n v="4.5"/>
    <n v="9150"/>
    <n v="61195"/>
    <n v="2"/>
    <n v="7294"/>
    <n v="1780000"/>
    <n v="121000000"/>
    <n v="443"/>
    <n v="4.0999999999999996"/>
    <s v="Tuesday"/>
    <x v="1"/>
    <n v="14642.171647929807"/>
    <x v="1"/>
    <n v="3.4379213483146071E-2"/>
  </r>
  <r>
    <n v="102"/>
    <x v="100"/>
    <x v="1"/>
    <x v="0"/>
    <s v="World of Warcraft"/>
    <s v="Just Chatting"/>
    <n v="6.2"/>
    <n v="2134"/>
    <n v="5243"/>
    <n v="1.6"/>
    <n v="11068"/>
    <n v="3940000"/>
    <n v="96900000"/>
    <n v="137"/>
    <n v="5"/>
    <s v="Monday"/>
    <x v="2"/>
    <n v="21358.872425009034"/>
    <x v="1"/>
    <n v="1.3307106598984771E-3"/>
  </r>
  <r>
    <n v="103"/>
    <x v="101"/>
    <x v="1"/>
    <x v="0"/>
    <s v="Minecraft"/>
    <s v="Just Chatting"/>
    <n v="1.9"/>
    <n v="18808"/>
    <n v="14365"/>
    <n v="1.3"/>
    <n v="5170"/>
    <n v="4620000"/>
    <n v="3510000"/>
    <n v="33"/>
    <n v="1.6"/>
    <s v="Friday"/>
    <x v="6"/>
    <n v="53617.02127659574"/>
    <x v="1"/>
    <n v="3.1093073593073594E-3"/>
  </r>
  <r>
    <n v="104"/>
    <x v="102"/>
    <x v="5"/>
    <x v="0"/>
    <s v="League of Legends"/>
    <s v="VALORANT"/>
    <n v="6.2"/>
    <n v="4280"/>
    <n v="5546"/>
    <n v="1.4"/>
    <n v="8836"/>
    <n v="786000"/>
    <n v="10200000"/>
    <n v="248"/>
    <n v="3.7"/>
    <s v="Tuesday"/>
    <x v="1"/>
    <n v="5337.2566772295149"/>
    <x v="1"/>
    <n v="7.055979643765903E-3"/>
  </r>
  <r>
    <n v="105"/>
    <x v="103"/>
    <x v="0"/>
    <x v="0"/>
    <s v="Counter-Strike"/>
    <s v="VALORANT"/>
    <n v="3.5"/>
    <n v="7152"/>
    <n v="18628"/>
    <n v="1.1000000000000001"/>
    <n v="1889"/>
    <n v="3740000"/>
    <n v="99100000"/>
    <n v="20"/>
    <n v="1.4"/>
    <s v="Wednesday"/>
    <x v="2"/>
    <n v="118793.01217575437"/>
    <x v="1"/>
    <n v="4.9807486631016041E-3"/>
  </r>
  <r>
    <n v="106"/>
    <x v="104"/>
    <x v="4"/>
    <x v="0"/>
    <s v="Hearthstone"/>
    <s v="Dota 2"/>
    <n v="6.2"/>
    <n v="3430"/>
    <n v="694"/>
    <n v="1.2"/>
    <n v="12717"/>
    <n v="862000"/>
    <n v="159000000"/>
    <n v="115"/>
    <n v="5.3"/>
    <s v="Thursday"/>
    <x v="6"/>
    <n v="4066.9969332389715"/>
    <x v="1"/>
    <n v="8.0510440835266826E-4"/>
  </r>
  <r>
    <n v="107"/>
    <x v="105"/>
    <x v="2"/>
    <x v="0"/>
    <s v="Fortnite"/>
    <s v="Teamfight Tactics"/>
    <n v="6.9"/>
    <n v="1893"/>
    <n v="83426"/>
    <n v="1.8"/>
    <n v="14351"/>
    <n v="4330000"/>
    <n v="185000000"/>
    <n v="187"/>
    <n v="5.3"/>
    <s v="Monday"/>
    <x v="2"/>
    <n v="18103.268064943208"/>
    <x v="1"/>
    <n v="1.9266974595842958E-2"/>
  </r>
  <r>
    <n v="108"/>
    <x v="106"/>
    <x v="3"/>
    <x v="0"/>
    <s v="League of Legends"/>
    <s v="Teamfight Tactics"/>
    <n v="6.4"/>
    <n v="1580"/>
    <n v="6062"/>
    <n v="1.3"/>
    <n v="10965"/>
    <n v="309000"/>
    <n v="11800000"/>
    <n v="105"/>
    <n v="5.4"/>
    <s v="Thursday"/>
    <x v="6"/>
    <n v="1690.8344733242134"/>
    <x v="1"/>
    <n v="1.9618122977346279E-2"/>
  </r>
  <r>
    <n v="109"/>
    <x v="107"/>
    <x v="1"/>
    <x v="0"/>
    <s v="EA Sports FC 24"/>
    <s v="Sports"/>
    <n v="4"/>
    <n v="6534"/>
    <n v="12638"/>
    <n v="1.3"/>
    <n v="8650"/>
    <n v="1540000"/>
    <n v="3220000"/>
    <n v="12"/>
    <n v="0.7"/>
    <s v="Friday"/>
    <x v="3"/>
    <n v="10682.080924855492"/>
    <x v="1"/>
    <n v="8.2064935064935073E-3"/>
  </r>
  <r>
    <n v="110"/>
    <x v="108"/>
    <x v="4"/>
    <x v="0"/>
    <s v="Just Chatting"/>
    <s v="Counter-Strike"/>
    <n v="2.2999999999999998"/>
    <n v="6190"/>
    <n v="10742"/>
    <n v="1.4"/>
    <n v="2093"/>
    <n v="562000"/>
    <n v="9740000"/>
    <n v="63"/>
    <n v="4.3"/>
    <s v="Saturday"/>
    <x v="1"/>
    <n v="16110.845676063067"/>
    <x v="1"/>
    <n v="1.911387900355872E-2"/>
  </r>
  <r>
    <n v="111"/>
    <x v="109"/>
    <x v="0"/>
    <x v="1"/>
    <s v="VALORANT"/>
    <m/>
    <n v="6.4"/>
    <n v="177"/>
    <n v="3556"/>
    <n v="1"/>
    <n v="1121"/>
    <n v="315000"/>
    <n v="634000"/>
    <n v="1"/>
    <n v="1.2"/>
    <s v="Sunday"/>
    <x v="0"/>
    <n v="16859.946476360394"/>
    <x v="1"/>
    <n v="1.1288888888888888E-2"/>
  </r>
  <r>
    <n v="112"/>
    <x v="110"/>
    <x v="3"/>
    <x v="0"/>
    <s v="Just Chatting"/>
    <s v="Minecraft"/>
    <n v="6.5"/>
    <n v="1383"/>
    <n v="31529"/>
    <n v="2.2000000000000002"/>
    <n v="5526"/>
    <n v="1110000"/>
    <n v="25100000"/>
    <n v="253"/>
    <n v="2.8"/>
    <s v="Wednesday"/>
    <x v="0"/>
    <n v="12052.117263843649"/>
    <x v="0"/>
    <n v="2.8404504504504505E-2"/>
  </r>
  <r>
    <n v="113"/>
    <x v="111"/>
    <x v="5"/>
    <x v="0"/>
    <s v="VALORANT"/>
    <s v="League of Legends"/>
    <n v="5.2"/>
    <n v="1235"/>
    <n v="2410"/>
    <n v="1.2"/>
    <n v="1869"/>
    <n v="467000"/>
    <n v="94200"/>
    <n v="29"/>
    <n v="3.1"/>
    <s v="Wednesday"/>
    <x v="4"/>
    <n v="14991.974317817016"/>
    <x v="1"/>
    <n v="5.160599571734475E-3"/>
  </r>
  <r>
    <n v="114"/>
    <x v="112"/>
    <x v="0"/>
    <x v="0"/>
    <s v="Path of Exile"/>
    <s v="World of Warcraft"/>
    <n v="8.6999999999999993"/>
    <n v="2520"/>
    <n v="38716"/>
    <n v="1.4"/>
    <n v="22547"/>
    <n v="840000"/>
    <n v="113000000"/>
    <n v="272"/>
    <n v="6.6"/>
    <s v="Thursday"/>
    <x v="2"/>
    <n v="2235.3306426575596"/>
    <x v="1"/>
    <n v="4.6090476190476189E-2"/>
  </r>
  <r>
    <n v="115"/>
    <x v="113"/>
    <x v="7"/>
    <x v="0"/>
    <s v="Grand Theft Auto V"/>
    <s v="Counter-Strike"/>
    <n v="7.8"/>
    <n v="2233"/>
    <n v="5657"/>
    <n v="1.5"/>
    <n v="6787"/>
    <n v="1760000"/>
    <n v="4450000"/>
    <n v="33"/>
    <n v="3"/>
    <s v="Thursday"/>
    <x v="3"/>
    <n v="15559.157212317667"/>
    <x v="1"/>
    <n v="3.2142045454545453E-3"/>
  </r>
  <r>
    <n v="116"/>
    <x v="114"/>
    <x v="1"/>
    <x v="0"/>
    <s v="Just Chatting"/>
    <s v="Minecraft"/>
    <n v="3.6"/>
    <n v="8757"/>
    <n v="6622"/>
    <n v="2.1"/>
    <n v="2634"/>
    <n v="6060000"/>
    <n v="4560000"/>
    <n v="204"/>
    <n v="5.6"/>
    <s v="Tuesday"/>
    <x v="6"/>
    <n v="138041.00227790434"/>
    <x v="0"/>
    <n v="1.0927392739273928E-3"/>
  </r>
  <r>
    <n v="117"/>
    <x v="115"/>
    <x v="0"/>
    <x v="0"/>
    <s v="Just Chatting"/>
    <s v="Fortnite"/>
    <n v="3.5"/>
    <n v="6470"/>
    <n v="12124"/>
    <n v="1.4"/>
    <n v="3465"/>
    <n v="634000"/>
    <n v="11900000"/>
    <n v="114"/>
    <n v="3"/>
    <s v="Thursday"/>
    <x v="1"/>
    <n v="10978.354978354979"/>
    <x v="1"/>
    <n v="1.9123028391167193E-2"/>
  </r>
  <r>
    <n v="118"/>
    <x v="116"/>
    <x v="1"/>
    <x v="0"/>
    <s v="Just Chatting"/>
    <s v="Minecraft"/>
    <n v="3.1"/>
    <n v="1067"/>
    <n v="37943"/>
    <n v="2.4"/>
    <n v="3527"/>
    <n v="9240000"/>
    <n v="32900000"/>
    <n v="189"/>
    <n v="3.2"/>
    <s v="Tuesday"/>
    <x v="4"/>
    <n v="157187.4113977885"/>
    <x v="0"/>
    <n v="4.1063852813852811E-3"/>
  </r>
  <r>
    <n v="119"/>
    <x v="117"/>
    <x v="0"/>
    <x v="1"/>
    <s v="World of Warcraft"/>
    <m/>
    <n v="5.6"/>
    <n v="1603"/>
    <n v="147236"/>
    <n v="1"/>
    <n v="2844"/>
    <n v="803000"/>
    <n v="82600000"/>
    <n v="1"/>
    <n v="1"/>
    <s v="Saturday"/>
    <x v="4"/>
    <n v="16940.928270042194"/>
    <x v="1"/>
    <n v="0.18335740971357409"/>
  </r>
  <r>
    <n v="120"/>
    <x v="118"/>
    <x v="7"/>
    <x v="0"/>
    <s v="Just Chatting"/>
    <s v="Tabletop RPGs"/>
    <n v="5.6"/>
    <n v="2462"/>
    <n v="62004"/>
    <n v="3"/>
    <n v="9223"/>
    <n v="3360000"/>
    <n v="84100000"/>
    <n v="1151"/>
    <n v="4.2"/>
    <s v="Saturday"/>
    <x v="1"/>
    <n v="21858.397484549496"/>
    <x v="0"/>
    <n v="1.845357142857143E-2"/>
  </r>
  <r>
    <n v="121"/>
    <x v="119"/>
    <x v="0"/>
    <x v="0"/>
    <s v="Fortnite"/>
    <s v="Just Chatting"/>
    <n v="4.4000000000000004"/>
    <n v="4766"/>
    <n v="78053"/>
    <n v="1.2"/>
    <n v="7467"/>
    <n v="7540000"/>
    <n v="123000000"/>
    <n v="49"/>
    <n v="5.5"/>
    <s v="Wednesday"/>
    <x v="3"/>
    <n v="60586.580956207312"/>
    <x v="1"/>
    <n v="1.035185676392573E-2"/>
  </r>
  <r>
    <n v="122"/>
    <x v="120"/>
    <x v="0"/>
    <x v="0"/>
    <s v="Just Chatting"/>
    <s v="Monster Hunter: World"/>
    <n v="6.8"/>
    <n v="4610"/>
    <n v="33731"/>
    <n v="2.1"/>
    <n v="13589"/>
    <n v="1280000"/>
    <n v="84300000"/>
    <n v="1121"/>
    <n v="5.0999999999999996"/>
    <s v="Monday"/>
    <x v="4"/>
    <n v="5651.6299948487749"/>
    <x v="0"/>
    <n v="2.635234375E-2"/>
  </r>
  <r>
    <n v="123"/>
    <x v="121"/>
    <x v="4"/>
    <x v="0"/>
    <s v="Just Chatting"/>
    <s v="Grand Theft Auto V"/>
    <n v="5"/>
    <n v="2739"/>
    <n v="1608"/>
    <n v="1"/>
    <n v="8130"/>
    <n v="471000"/>
    <n v="370000"/>
    <n v="10"/>
    <n v="0.5"/>
    <s v="Wednesday"/>
    <x v="1"/>
    <n v="3476.0147601476015"/>
    <x v="1"/>
    <n v="3.4140127388535032E-3"/>
  </r>
  <r>
    <n v="124"/>
    <x v="122"/>
    <x v="1"/>
    <x v="0"/>
    <s v="League of Legends"/>
    <s v="Just Chatting"/>
    <n v="6.5"/>
    <n v="6630"/>
    <n v="37604"/>
    <n v="2.4"/>
    <n v="1295"/>
    <n v="1140000"/>
    <n v="64400000"/>
    <n v="724"/>
    <n v="5.7"/>
    <s v="Tuesday"/>
    <x v="4"/>
    <n v="52818.532818532818"/>
    <x v="0"/>
    <n v="3.2985964912280702E-2"/>
  </r>
  <r>
    <n v="125"/>
    <x v="123"/>
    <x v="0"/>
    <x v="1"/>
    <s v="Counter-Strike"/>
    <m/>
    <n v="6.5"/>
    <n v="1084"/>
    <n v="59976"/>
    <n v="1"/>
    <n v="6053"/>
    <n v="1240000"/>
    <n v="67000000"/>
    <n v="1"/>
    <n v="2.4"/>
    <s v="Wednesday"/>
    <x v="1"/>
    <n v="12291.425739302824"/>
    <x v="1"/>
    <n v="4.836774193548387E-2"/>
  </r>
  <r>
    <n v="126"/>
    <x v="124"/>
    <x v="0"/>
    <x v="1"/>
    <s v="VALORANT"/>
    <m/>
    <n v="7.8"/>
    <n v="1591"/>
    <n v="10674"/>
    <n v="1"/>
    <n v="2297"/>
    <n v="576000"/>
    <n v="3860000"/>
    <n v="1"/>
    <n v="1.6"/>
    <s v="Saturday"/>
    <x v="6"/>
    <n v="15045.711797997388"/>
    <x v="1"/>
    <n v="1.8531249999999999E-2"/>
  </r>
  <r>
    <n v="127"/>
    <x v="125"/>
    <x v="3"/>
    <x v="0"/>
    <s v="Fortnite"/>
    <s v="Clash Royale"/>
    <n v="6"/>
    <n v="1611"/>
    <n v="6778"/>
    <n v="1.9"/>
    <n v="12653"/>
    <n v="3560000"/>
    <n v="148000000"/>
    <n v="173"/>
    <n v="5.3"/>
    <s v="Monday"/>
    <x v="5"/>
    <n v="16881.372006638743"/>
    <x v="1"/>
    <n v="1.9039325842696629E-3"/>
  </r>
  <r>
    <n v="128"/>
    <x v="126"/>
    <x v="0"/>
    <x v="0"/>
    <s v="Madden NFL 24"/>
    <s v="Just Chatting"/>
    <n v="2.6"/>
    <n v="7574"/>
    <n v="0"/>
    <n v="1.2"/>
    <n v="3030"/>
    <n v="962000"/>
    <n v="0"/>
    <n v="25"/>
    <n v="2.6"/>
    <s v="Friday"/>
    <x v="5"/>
    <n v="19049.504950495051"/>
    <x v="1"/>
    <n v="0"/>
  </r>
  <r>
    <n v="129"/>
    <x v="127"/>
    <x v="0"/>
    <x v="0"/>
    <s v="Just Chatting"/>
    <s v="Minecraft"/>
    <n v="5.6"/>
    <n v="1699"/>
    <n v="1866"/>
    <n v="2"/>
    <n v="7369"/>
    <n v="1960000"/>
    <n v="21500000"/>
    <n v="393"/>
    <n v="4.3"/>
    <s v="Friday"/>
    <x v="3"/>
    <n v="15958.746098520831"/>
    <x v="1"/>
    <n v="9.520408163265306E-4"/>
  </r>
  <r>
    <n v="130"/>
    <x v="128"/>
    <x v="0"/>
    <x v="0"/>
    <s v="Just Chatting"/>
    <s v="Music"/>
    <n v="4.5"/>
    <n v="1035"/>
    <n v="2200"/>
    <n v="1.7"/>
    <n v="3208"/>
    <n v="735000"/>
    <n v="157000"/>
    <n v="66"/>
    <n v="4.5"/>
    <s v="Monday"/>
    <x v="2"/>
    <n v="13746.882793017456"/>
    <x v="1"/>
    <n v="2.9931972789115648E-3"/>
  </r>
  <r>
    <n v="131"/>
    <x v="129"/>
    <x v="4"/>
    <x v="0"/>
    <s v="Just Chatting"/>
    <s v="Counter-Strike"/>
    <n v="4.2"/>
    <n v="8330"/>
    <n v="26405"/>
    <n v="2.2000000000000002"/>
    <n v="6441"/>
    <n v="1410000"/>
    <n v="44700000"/>
    <n v="422"/>
    <n v="4.9000000000000004"/>
    <s v="Saturday"/>
    <x v="3"/>
    <n v="13134.606427573359"/>
    <x v="0"/>
    <n v="1.8726950354609927E-2"/>
  </r>
  <r>
    <n v="132"/>
    <x v="130"/>
    <x v="0"/>
    <x v="0"/>
    <s v="Dark Souls"/>
    <s v="ELDEN RING"/>
    <n v="8.1"/>
    <n v="1370"/>
    <n v="25834"/>
    <n v="2.1"/>
    <n v="18785"/>
    <n v="481000"/>
    <n v="70400000"/>
    <n v="1148"/>
    <n v="5.9"/>
    <s v="Wednesday"/>
    <x v="1"/>
    <n v="1536.332179930796"/>
    <x v="0"/>
    <n v="5.370893970893971E-2"/>
  </r>
  <r>
    <n v="133"/>
    <x v="131"/>
    <x v="3"/>
    <x v="0"/>
    <s v="Just Chatting"/>
    <s v="Poker"/>
    <n v="4.5999999999999996"/>
    <n v="1766"/>
    <n v="40784"/>
    <n v="1.5"/>
    <n v="14505"/>
    <n v="2340000"/>
    <n v="68700000"/>
    <n v="48"/>
    <n v="3.7"/>
    <s v="Thursday"/>
    <x v="0"/>
    <n v="9679.4208893485011"/>
    <x v="1"/>
    <n v="1.7429059829059828E-2"/>
  </r>
  <r>
    <n v="134"/>
    <x v="132"/>
    <x v="0"/>
    <x v="0"/>
    <s v="Just Chatting"/>
    <s v="Grand Theft Auto V"/>
    <n v="4.9000000000000004"/>
    <n v="2738"/>
    <n v="6160"/>
    <n v="2.1"/>
    <n v="3487"/>
    <n v="1560000"/>
    <n v="361000"/>
    <n v="140"/>
    <n v="1.8"/>
    <s v="Thursday"/>
    <x v="4"/>
    <n v="26842.558072841985"/>
    <x v="0"/>
    <n v="3.9487179487179488E-3"/>
  </r>
  <r>
    <n v="135"/>
    <x v="133"/>
    <x v="10"/>
    <x v="0"/>
    <s v="VALORANT"/>
    <s v="Just Chatting"/>
    <n v="4.8"/>
    <n v="1556"/>
    <n v="75799"/>
    <n v="2.5"/>
    <n v="8948"/>
    <n v="2930000"/>
    <n v="142000000"/>
    <n v="260"/>
    <n v="4.8"/>
    <s v="Friday"/>
    <x v="4"/>
    <n v="19646.848457755925"/>
    <x v="0"/>
    <n v="2.5869965870307168E-2"/>
  </r>
  <r>
    <n v="136"/>
    <x v="134"/>
    <x v="3"/>
    <x v="0"/>
    <s v="FIFA 23"/>
    <s v="EA Sports FC 24"/>
    <n v="5.0999999999999996"/>
    <n v="1325"/>
    <n v="9215"/>
    <n v="1.5"/>
    <n v="2207"/>
    <n v="570000"/>
    <n v="3620000"/>
    <n v="22"/>
    <n v="3.5"/>
    <s v="Friday"/>
    <x v="4"/>
    <n v="15496.148618033531"/>
    <x v="1"/>
    <n v="1.6166666666666666E-2"/>
  </r>
  <r>
    <n v="137"/>
    <x v="135"/>
    <x v="0"/>
    <x v="0"/>
    <s v="World of Warcraft"/>
    <s v="Just Chatting"/>
    <n v="8.6"/>
    <n v="5880"/>
    <n v="35686"/>
    <n v="2.1"/>
    <n v="18613"/>
    <n v="1350000"/>
    <n v="81900000"/>
    <n v="327"/>
    <n v="6.2"/>
    <s v="Thursday"/>
    <x v="2"/>
    <n v="4351.7971310374469"/>
    <x v="0"/>
    <n v="2.6434074074074075E-2"/>
  </r>
  <r>
    <n v="138"/>
    <x v="136"/>
    <x v="2"/>
    <x v="0"/>
    <s v="Fortnite"/>
    <s v="Rust"/>
    <n v="4.7"/>
    <n v="5850"/>
    <n v="8528"/>
    <n v="1.2"/>
    <n v="4951"/>
    <n v="649000"/>
    <n v="9460000"/>
    <n v="57"/>
    <n v="3.4"/>
    <s v="Saturday"/>
    <x v="1"/>
    <n v="7865.0777620682693"/>
    <x v="1"/>
    <n v="1.3140215716486903E-2"/>
  </r>
  <r>
    <n v="139"/>
    <x v="137"/>
    <x v="7"/>
    <x v="0"/>
    <s v="Grand Theft Auto V"/>
    <s v="Just Chatting"/>
    <n v="8.6999999999999993"/>
    <n v="1854"/>
    <n v="12474"/>
    <n v="1.6"/>
    <n v="8848"/>
    <n v="1970000"/>
    <n v="13400000"/>
    <n v="71"/>
    <n v="2.6"/>
    <s v="Friday"/>
    <x v="6"/>
    <n v="13358.951175406872"/>
    <x v="1"/>
    <n v="6.3319796954314717E-3"/>
  </r>
  <r>
    <n v="140"/>
    <x v="138"/>
    <x v="0"/>
    <x v="0"/>
    <s v="Grand Theft Auto V"/>
    <s v="VALORANT"/>
    <n v="7.1"/>
    <n v="4660"/>
    <n v="32957"/>
    <n v="1.2"/>
    <n v="9943"/>
    <n v="589000"/>
    <n v="41700000"/>
    <n v="56"/>
    <n v="3.9"/>
    <s v="Wednesday"/>
    <x v="6"/>
    <n v="3554.2592778839385"/>
    <x v="1"/>
    <n v="5.5954159592529709E-2"/>
  </r>
  <r>
    <n v="141"/>
    <x v="139"/>
    <x v="9"/>
    <x v="0"/>
    <s v="Just Chatting"/>
    <s v="Grand Theft Auto V"/>
    <n v="4.5"/>
    <n v="8840"/>
    <n v="6828"/>
    <n v="2.5"/>
    <n v="305"/>
    <n v="562000"/>
    <n v="4310000"/>
    <n v="136"/>
    <n v="4.0999999999999996"/>
    <s v="Wednesday"/>
    <x v="0"/>
    <n v="110557.37704918033"/>
    <x v="0"/>
    <n v="1.2149466192170819E-2"/>
  </r>
  <r>
    <n v="142"/>
    <x v="140"/>
    <x v="3"/>
    <x v="0"/>
    <s v="Just Chatting"/>
    <s v="Gartic Phone"/>
    <n v="4.2"/>
    <n v="3015"/>
    <n v="33173"/>
    <n v="1.3"/>
    <n v="8930"/>
    <n v="656000"/>
    <n v="7100000"/>
    <n v="30"/>
    <n v="1.2"/>
    <s v="Sunday"/>
    <x v="0"/>
    <n v="4407.6147816349385"/>
    <x v="1"/>
    <n v="5.0568597560975613E-2"/>
  </r>
  <r>
    <n v="143"/>
    <x v="141"/>
    <x v="0"/>
    <x v="0"/>
    <s v="Path of Exile"/>
    <s v="Talk Shows &amp; Podcasts"/>
    <n v="7.4"/>
    <n v="1670"/>
    <n v="32809"/>
    <n v="1.2"/>
    <n v="20458"/>
    <n v="1570000"/>
    <n v="223000000"/>
    <n v="907"/>
    <n v="7"/>
    <s v="Friday"/>
    <x v="5"/>
    <n v="4604.555675041549"/>
    <x v="1"/>
    <n v="2.0897452229299365E-2"/>
  </r>
  <r>
    <n v="144"/>
    <x v="142"/>
    <x v="0"/>
    <x v="0"/>
    <s v="Just Chatting"/>
    <s v="VALORANT"/>
    <n v="6"/>
    <n v="5780"/>
    <n v="20"/>
    <n v="2.5"/>
    <n v="3121"/>
    <n v="302000"/>
    <n v="1200"/>
    <n v="158"/>
    <n v="1.7"/>
    <s v="Thursday"/>
    <x v="2"/>
    <n v="5805.8314642742707"/>
    <x v="0"/>
    <n v="6.6225165562913907E-5"/>
  </r>
  <r>
    <n v="145"/>
    <x v="143"/>
    <x v="5"/>
    <x v="0"/>
    <s v="Grand Theft Auto V"/>
    <s v="Rust"/>
    <n v="8.1999999999999993"/>
    <n v="8340"/>
    <n v="0"/>
    <n v="1.2"/>
    <n v="1426"/>
    <n v="164000"/>
    <n v="0"/>
    <n v="34"/>
    <n v="1.9"/>
    <s v="Tuesday"/>
    <x v="1"/>
    <n v="6900.4207573632539"/>
    <x v="1"/>
    <n v="0"/>
  </r>
  <r>
    <n v="146"/>
    <x v="144"/>
    <x v="0"/>
    <x v="0"/>
    <s v="Ashes of Creation"/>
    <s v="The Elder Scrolls Online"/>
    <n v="3.5"/>
    <n v="1038"/>
    <n v="4090"/>
    <n v="1.5"/>
    <n v="6262"/>
    <n v="1480000"/>
    <n v="639000"/>
    <n v="227"/>
    <n v="4.5999999999999996"/>
    <s v="Sunday"/>
    <x v="3"/>
    <n v="14180.772916001279"/>
    <x v="1"/>
    <n v="2.7635135135135134E-3"/>
  </r>
  <r>
    <n v="147"/>
    <x v="145"/>
    <x v="5"/>
    <x v="0"/>
    <s v="VALORANT"/>
    <s v="League of Legends"/>
    <n v="6.6"/>
    <n v="4480"/>
    <n v="23844"/>
    <n v="1.3"/>
    <n v="897"/>
    <n v="613000"/>
    <n v="32600000"/>
    <n v="117"/>
    <n v="3.5"/>
    <s v="Saturday"/>
    <x v="1"/>
    <n v="41003.344481605352"/>
    <x v="1"/>
    <n v="3.8897226753670473E-2"/>
  </r>
  <r>
    <n v="148"/>
    <x v="146"/>
    <x v="11"/>
    <x v="0"/>
    <s v="Just Chatting"/>
    <s v="Counter-Strike"/>
    <n v="2.6"/>
    <n v="1597"/>
    <n v="20"/>
    <n v="1.1000000000000001"/>
    <n v="5420"/>
    <n v="332000"/>
    <n v="7700"/>
    <n v="12"/>
    <n v="1"/>
    <s v="Tuesday"/>
    <x v="1"/>
    <n v="3675.2767527675278"/>
    <x v="1"/>
    <n v="6.0240963855421684E-5"/>
  </r>
  <r>
    <n v="149"/>
    <x v="147"/>
    <x v="5"/>
    <x v="1"/>
    <s v="League of Legends"/>
    <s v="League of Legends: Wild Rift"/>
    <n v="5.8"/>
    <n v="3710"/>
    <n v="78443"/>
    <n v="1"/>
    <n v="4473"/>
    <n v="310000"/>
    <n v="63500000"/>
    <n v="7"/>
    <n v="2"/>
    <s v="Saturday"/>
    <x v="1"/>
    <n v="4158.2830315224683"/>
    <x v="1"/>
    <n v="0.25304193548387099"/>
  </r>
  <r>
    <n v="150"/>
    <x v="148"/>
    <x v="2"/>
    <x v="0"/>
    <s v="Just Chatting"/>
    <s v="Escape from Tarkov"/>
    <n v="6"/>
    <n v="1890"/>
    <n v="11807"/>
    <n v="2.4"/>
    <n v="13356"/>
    <n v="685000"/>
    <n v="33800000"/>
    <n v="745"/>
    <n v="5.7"/>
    <s v="Friday"/>
    <x v="1"/>
    <n v="3077.2686433063791"/>
    <x v="0"/>
    <n v="1.7236496350364963E-2"/>
  </r>
  <r>
    <n v="151"/>
    <x v="149"/>
    <x v="4"/>
    <x v="0"/>
    <s v="Dota 2"/>
    <s v="The Last of Us Part II"/>
    <n v="6"/>
    <n v="7340"/>
    <n v="55905"/>
    <n v="1"/>
    <n v="12578"/>
    <n v="1600000"/>
    <n v="120000000"/>
    <n v="14"/>
    <n v="5.4"/>
    <s v="Wednesday"/>
    <x v="5"/>
    <n v="7632.3739863253304"/>
    <x v="1"/>
    <n v="3.4940625000000003E-2"/>
  </r>
  <r>
    <n v="152"/>
    <x v="150"/>
    <x v="0"/>
    <x v="0"/>
    <s v="Super Auto Pets"/>
    <s v="The Binding of Isaac: Repentance"/>
    <n v="3.8"/>
    <n v="2600"/>
    <n v="13005"/>
    <n v="2.5"/>
    <n v="7653"/>
    <n v="688000"/>
    <n v="37000000"/>
    <n v="830"/>
    <n v="5.0999999999999996"/>
    <s v="Thursday"/>
    <x v="4"/>
    <n v="5393.9631517052139"/>
    <x v="0"/>
    <n v="1.8902616279069768E-2"/>
  </r>
  <r>
    <n v="153"/>
    <x v="151"/>
    <x v="0"/>
    <x v="0"/>
    <s v="Fortnite"/>
    <s v="Just Chatting"/>
    <n v="3.9"/>
    <n v="3302"/>
    <n v="47216"/>
    <n v="2"/>
    <n v="4075"/>
    <n v="3090000"/>
    <n v="44200000"/>
    <n v="112"/>
    <n v="3.8"/>
    <s v="Saturday"/>
    <x v="1"/>
    <n v="45496.932515337423"/>
    <x v="1"/>
    <n v="1.5280258899676375E-2"/>
  </r>
  <r>
    <n v="154"/>
    <x v="152"/>
    <x v="0"/>
    <x v="0"/>
    <s v="Trackmania"/>
    <s v="TrackMania (1)"/>
    <n v="3.9"/>
    <n v="1980"/>
    <n v="3449"/>
    <n v="1.1000000000000001"/>
    <n v="3348"/>
    <n v="162000"/>
    <n v="2800000"/>
    <n v="32"/>
    <n v="2.9"/>
    <s v="Tuesday"/>
    <x v="1"/>
    <n v="2903.2258064516132"/>
    <x v="1"/>
    <n v="2.1290123456790124E-2"/>
  </r>
  <r>
    <n v="155"/>
    <x v="153"/>
    <x v="0"/>
    <x v="0"/>
    <s v="Variety"/>
    <s v="Talk Shows &amp; Podcasts"/>
    <n v="2.1"/>
    <n v="1329"/>
    <n v="33493"/>
    <n v="1"/>
    <n v="1173"/>
    <n v="459000"/>
    <n v="12000000"/>
    <n v="190"/>
    <n v="1.4"/>
    <s v="Friday"/>
    <x v="3"/>
    <n v="23478.260869565216"/>
    <x v="1"/>
    <n v="7.2969498910675376E-2"/>
  </r>
  <r>
    <n v="156"/>
    <x v="154"/>
    <x v="1"/>
    <x v="0"/>
    <s v="Just Chatting"/>
    <s v="Winning Eleven: Pro Evolution Soccer 2007"/>
    <n v="5.0999999999999996"/>
    <n v="2075"/>
    <n v="2102"/>
    <n v="1.2"/>
    <n v="4449"/>
    <n v="1860000"/>
    <n v="1880000"/>
    <n v="9"/>
    <n v="4.8"/>
    <s v="Tuesday"/>
    <x v="2"/>
    <n v="25084.288604180714"/>
    <x v="1"/>
    <n v="1.1301075268817205E-3"/>
  </r>
  <r>
    <n v="157"/>
    <x v="155"/>
    <x v="5"/>
    <x v="0"/>
    <s v="Grand Theft Auto V"/>
    <s v="VALORANT"/>
    <n v="7"/>
    <n v="1024"/>
    <n v="0"/>
    <n v="1.2"/>
    <n v="1104"/>
    <n v="179000"/>
    <n v="0"/>
    <n v="15"/>
    <n v="4.3"/>
    <s v="Thursday"/>
    <x v="0"/>
    <n v="9728.2608695652179"/>
    <x v="1"/>
    <n v="0"/>
  </r>
  <r>
    <n v="158"/>
    <x v="156"/>
    <x v="5"/>
    <x v="0"/>
    <s v="Apex Legends"/>
    <s v="VALORANT"/>
    <n v="5.7"/>
    <n v="3310"/>
    <n v="4251"/>
    <n v="1.3"/>
    <n v="427"/>
    <n v="271000"/>
    <n v="3480000"/>
    <n v="88"/>
    <n v="4"/>
    <s v="Wednesday"/>
    <x v="1"/>
    <n v="38079.625292740049"/>
    <x v="1"/>
    <n v="1.5686346863468634E-2"/>
  </r>
  <r>
    <n v="159"/>
    <x v="157"/>
    <x v="7"/>
    <x v="0"/>
    <s v="Just Chatting"/>
    <s v="Grand Theft Auto V"/>
    <n v="8.8000000000000007"/>
    <n v="1373"/>
    <n v="17551"/>
    <n v="2.8"/>
    <n v="11963"/>
    <n v="1520000"/>
    <n v="19500000"/>
    <n v="280"/>
    <n v="3.8"/>
    <s v="Wednesday"/>
    <x v="1"/>
    <n v="7623.5058095795375"/>
    <x v="0"/>
    <n v="1.154671052631579E-2"/>
  </r>
  <r>
    <n v="160"/>
    <x v="158"/>
    <x v="6"/>
    <x v="0"/>
    <s v="Hearthstone"/>
    <s v="League of Legends"/>
    <n v="7.5"/>
    <n v="3330"/>
    <n v="33004"/>
    <n v="1.5"/>
    <n v="3543"/>
    <n v="196000"/>
    <n v="18200000"/>
    <n v="46"/>
    <n v="1.2"/>
    <s v="Friday"/>
    <x v="1"/>
    <n v="3319.22099915326"/>
    <x v="1"/>
    <n v="0.16838775510204082"/>
  </r>
  <r>
    <n v="161"/>
    <x v="159"/>
    <x v="1"/>
    <x v="0"/>
    <s v="Just Chatting"/>
    <s v="Grand Theft Auto V"/>
    <n v="5.2"/>
    <n v="5678"/>
    <n v="84694"/>
    <n v="2.7"/>
    <n v="11163"/>
    <n v="11200000"/>
    <n v="168000000"/>
    <n v="333"/>
    <n v="5.5"/>
    <s v="Thursday"/>
    <x v="3"/>
    <n v="60198.871271163662"/>
    <x v="0"/>
    <n v="7.5619642857142856E-3"/>
  </r>
  <r>
    <n v="162"/>
    <x v="160"/>
    <x v="2"/>
    <x v="0"/>
    <s v="Just Chatting"/>
    <s v="Overwatch"/>
    <n v="5.3"/>
    <n v="1195"/>
    <n v="35123"/>
    <n v="2.1"/>
    <n v="10867"/>
    <n v="2200000"/>
    <n v="64700000"/>
    <n v="531"/>
    <n v="5.3"/>
    <s v="Wednesday"/>
    <x v="5"/>
    <n v="12146.866660531885"/>
    <x v="0"/>
    <n v="1.5965E-2"/>
  </r>
  <r>
    <n v="163"/>
    <x v="161"/>
    <x v="4"/>
    <x v="0"/>
    <s v="Counter-Strike"/>
    <s v="VALORANT"/>
    <n v="6.1"/>
    <n v="6420"/>
    <n v="1491"/>
    <n v="1.1000000000000001"/>
    <n v="2753"/>
    <n v="314000"/>
    <n v="2770000"/>
    <n v="13"/>
    <n v="1.2"/>
    <s v="Friday"/>
    <x v="0"/>
    <n v="6843.443516164185"/>
    <x v="1"/>
    <n v="4.748407643312102E-3"/>
  </r>
  <r>
    <n v="164"/>
    <x v="162"/>
    <x v="5"/>
    <x v="0"/>
    <s v="Escape from Tarkov"/>
    <s v="Rust"/>
    <n v="7.1"/>
    <n v="2230"/>
    <n v="1098"/>
    <n v="1.6"/>
    <n v="10745"/>
    <n v="344000"/>
    <n v="16900000"/>
    <n v="237"/>
    <n v="3.9"/>
    <s v="Monday"/>
    <x v="1"/>
    <n v="1920.8934388087482"/>
    <x v="1"/>
    <n v="3.1918604651162792E-3"/>
  </r>
  <r>
    <n v="165"/>
    <x v="163"/>
    <x v="2"/>
    <x v="0"/>
    <s v="Just Chatting"/>
    <s v="Call of Duty: Modern Warfare III"/>
    <n v="3.4"/>
    <n v="8660"/>
    <n v="6531"/>
    <n v="1.4"/>
    <n v="3149"/>
    <n v="613000"/>
    <n v="4530000"/>
    <n v="50"/>
    <n v="2.4"/>
    <s v="Monday"/>
    <x v="6"/>
    <n v="11679.898380438233"/>
    <x v="1"/>
    <n v="1.0654159869494291E-2"/>
  </r>
  <r>
    <n v="166"/>
    <x v="164"/>
    <x v="0"/>
    <x v="1"/>
    <s v="Magic: The Gathering"/>
    <s v="Magic: The Gathering (1)"/>
    <n v="4.8"/>
    <n v="2950"/>
    <n v="55757"/>
    <n v="1"/>
    <n v="7211"/>
    <n v="472000"/>
    <n v="121000000"/>
    <n v="2"/>
    <n v="2.9"/>
    <s v="Thursday"/>
    <x v="1"/>
    <n v="3927.3332408819856"/>
    <x v="1"/>
    <n v="0.1181292372881356"/>
  </r>
  <r>
    <n v="167"/>
    <x v="165"/>
    <x v="4"/>
    <x v="0"/>
    <s v="Hearthstone"/>
    <s v="Dota 2"/>
    <n v="5.9"/>
    <n v="3810"/>
    <n v="18774"/>
    <n v="1.4"/>
    <n v="7782"/>
    <n v="585000"/>
    <n v="29500000"/>
    <n v="30"/>
    <n v="3.4"/>
    <s v="Sunday"/>
    <x v="1"/>
    <n v="4510.4086353122593"/>
    <x v="1"/>
    <n v="3.2092307692307691E-2"/>
  </r>
  <r>
    <n v="168"/>
    <x v="166"/>
    <x v="2"/>
    <x v="0"/>
    <s v="GeoGuessr"/>
    <s v="Just Chatting"/>
    <n v="4.5999999999999996"/>
    <n v="8460"/>
    <n v="30484"/>
    <n v="1.4"/>
    <n v="6241"/>
    <n v="1030000"/>
    <n v="37300000"/>
    <n v="249"/>
    <n v="4"/>
    <s v="Monday"/>
    <x v="1"/>
    <n v="9902.259253324788"/>
    <x v="1"/>
    <n v="2.9596116504854369E-2"/>
  </r>
  <r>
    <n v="169"/>
    <x v="167"/>
    <x v="4"/>
    <x v="0"/>
    <s v="Dota 2"/>
    <s v="Mount &amp; Blade II: Bannerlord"/>
    <n v="8.1999999999999993"/>
    <n v="2340"/>
    <n v="94945"/>
    <n v="2.1"/>
    <n v="11445"/>
    <n v="715000"/>
    <n v="199000000"/>
    <n v="309"/>
    <n v="3.6"/>
    <s v="Wednesday"/>
    <x v="5"/>
    <n v="3748.3617300131064"/>
    <x v="0"/>
    <n v="0.13279020979020978"/>
  </r>
  <r>
    <n v="170"/>
    <x v="168"/>
    <x v="0"/>
    <x v="0"/>
    <s v="Fortnite"/>
    <s v="Just Chatting"/>
    <n v="5.6"/>
    <n v="1021"/>
    <n v="60"/>
    <n v="1.3"/>
    <n v="3064"/>
    <n v="537000"/>
    <n v="3500"/>
    <n v="52"/>
    <n v="2.6"/>
    <s v="Monday"/>
    <x v="1"/>
    <n v="10515.665796344647"/>
    <x v="1"/>
    <n v="1.11731843575419E-4"/>
  </r>
  <r>
    <n v="171"/>
    <x v="169"/>
    <x v="0"/>
    <x v="1"/>
    <s v="Fortnite"/>
    <m/>
    <n v="5.2"/>
    <n v="18889"/>
    <n v="352166"/>
    <n v="1"/>
    <n v="1726"/>
    <n v="5880000"/>
    <n v="110000000"/>
    <n v="1"/>
    <n v="0.9"/>
    <s v="Sunday"/>
    <x v="4"/>
    <n v="204403.24449594438"/>
    <x v="1"/>
    <n v="5.9892176870748298E-2"/>
  </r>
  <r>
    <n v="172"/>
    <x v="170"/>
    <x v="0"/>
    <x v="0"/>
    <s v="Grand Theft Auto V"/>
    <s v="League of Legends"/>
    <n v="5"/>
    <n v="4688"/>
    <n v="123683"/>
    <n v="2.4"/>
    <n v="5014"/>
    <n v="3930000"/>
    <n v="104000000"/>
    <n v="155"/>
    <n v="3.5"/>
    <s v="Wednesday"/>
    <x v="5"/>
    <n v="47028.320702034303"/>
    <x v="0"/>
    <n v="3.1471501272264633E-2"/>
  </r>
  <r>
    <n v="173"/>
    <x v="171"/>
    <x v="0"/>
    <x v="0"/>
    <s v="Chess"/>
    <s v="Just Chatting"/>
    <n v="4.2"/>
    <n v="8420"/>
    <n v="56182"/>
    <n v="1.4"/>
    <n v="6409"/>
    <n v="1300000"/>
    <n v="86400000"/>
    <n v="77"/>
    <n v="4"/>
    <s v="Friday"/>
    <x v="1"/>
    <n v="12170.385395537525"/>
    <x v="1"/>
    <n v="4.3216923076923076E-2"/>
  </r>
  <r>
    <n v="174"/>
    <x v="172"/>
    <x v="4"/>
    <x v="0"/>
    <s v="Counter-Strike"/>
    <s v="Dota 2"/>
    <n v="3.1"/>
    <n v="264"/>
    <n v="31467"/>
    <n v="1.1000000000000001"/>
    <n v="1152"/>
    <n v="1000000"/>
    <n v="11900000"/>
    <n v="13"/>
    <n v="1.2"/>
    <s v="Saturday"/>
    <x v="2"/>
    <n v="52083.333333333336"/>
    <x v="1"/>
    <n v="3.1467000000000002E-2"/>
  </r>
  <r>
    <n v="175"/>
    <x v="173"/>
    <x v="0"/>
    <x v="1"/>
    <s v="Dota 2"/>
    <m/>
    <n v="20.399999999999999"/>
    <n v="8270"/>
    <n v="148524"/>
    <n v="1"/>
    <n v="2343"/>
    <n v="605000"/>
    <n v="137000000"/>
    <n v="1"/>
    <n v="2.9"/>
    <s v="Wednesday"/>
    <x v="4"/>
    <n v="15492.957746478874"/>
    <x v="1"/>
    <n v="0.24549421487603307"/>
  </r>
  <r>
    <n v="176"/>
    <x v="174"/>
    <x v="2"/>
    <x v="0"/>
    <s v="Just Chatting"/>
    <s v="Minecraft"/>
    <n v="3.2"/>
    <n v="1578"/>
    <n v="28771"/>
    <n v="1.8"/>
    <n v="2282"/>
    <n v="1250000"/>
    <n v="25500000"/>
    <n v="483"/>
    <n v="1.8"/>
    <s v="Sunday"/>
    <x v="4"/>
    <n v="32865.907099035932"/>
    <x v="1"/>
    <n v="2.30168E-2"/>
  </r>
  <r>
    <n v="177"/>
    <x v="175"/>
    <x v="0"/>
    <x v="0"/>
    <s v="Fortnite"/>
    <s v="Call of Duty: Warzone"/>
    <n v="3.8"/>
    <n v="1241"/>
    <n v="3957"/>
    <n v="1.8"/>
    <n v="2227"/>
    <n v="717000"/>
    <n v="2270000"/>
    <n v="172"/>
    <n v="1.5"/>
    <s v="Wednesday"/>
    <x v="1"/>
    <n v="19317.467444993265"/>
    <x v="1"/>
    <n v="5.5188284518828453E-3"/>
  </r>
  <r>
    <n v="178"/>
    <x v="176"/>
    <x v="0"/>
    <x v="0"/>
    <s v="Destiny 2"/>
    <s v="Destiny"/>
    <n v="5"/>
    <n v="3060"/>
    <n v="1959"/>
    <n v="1.1000000000000001"/>
    <n v="7012"/>
    <n v="446000"/>
    <n v="2850000"/>
    <n v="107"/>
    <n v="3.6"/>
    <s v="Tuesday"/>
    <x v="4"/>
    <n v="3816.3148887621223"/>
    <x v="1"/>
    <n v="4.39237668161435E-3"/>
  </r>
  <r>
    <n v="179"/>
    <x v="177"/>
    <x v="0"/>
    <x v="1"/>
    <s v="World of Tanks"/>
    <s v="Project CW"/>
    <n v="3.8"/>
    <n v="5960"/>
    <n v="37723"/>
    <n v="1"/>
    <n v="293"/>
    <n v="462000"/>
    <n v="29300000"/>
    <n v="2"/>
    <n v="2.2999999999999998"/>
    <s v="Friday"/>
    <x v="1"/>
    <n v="94607.508532423206"/>
    <x v="1"/>
    <n v="8.1651515151515155E-2"/>
  </r>
  <r>
    <n v="180"/>
    <x v="178"/>
    <x v="0"/>
    <x v="1"/>
    <s v="Special Events"/>
    <s v="Tekken 7"/>
    <n v="8.4"/>
    <n v="6359"/>
    <n v="338908"/>
    <n v="2.5"/>
    <n v="6140"/>
    <n v="571000"/>
    <n v="53500000"/>
    <n v="40"/>
    <n v="0.2"/>
    <s v="Monday"/>
    <x v="1"/>
    <n v="5579.8045602605862"/>
    <x v="0"/>
    <n v="0.59353415061295967"/>
  </r>
  <r>
    <n v="181"/>
    <x v="179"/>
    <x v="0"/>
    <x v="0"/>
    <s v="Music"/>
    <s v="Just Chatting"/>
    <n v="2.2000000000000002"/>
    <n v="8030"/>
    <n v="73454"/>
    <n v="1"/>
    <n v="1768"/>
    <n v="692000"/>
    <n v="65000000"/>
    <n v="15"/>
    <n v="2"/>
    <s v="Tuesday"/>
    <x v="1"/>
    <n v="23484.162895927602"/>
    <x v="1"/>
    <n v="0.10614739884393064"/>
  </r>
  <r>
    <n v="182"/>
    <x v="180"/>
    <x v="5"/>
    <x v="0"/>
    <s v="VALORANT"/>
    <s v="Grand Theft Auto V"/>
    <n v="6.4"/>
    <n v="1070"/>
    <n v="3460"/>
    <n v="1.1000000000000001"/>
    <n v="714"/>
    <n v="158000"/>
    <n v="512000"/>
    <n v="109"/>
    <n v="5.7"/>
    <s v="Wednesday"/>
    <x v="6"/>
    <n v="13277.310924369747"/>
    <x v="1"/>
    <n v="2.189873417721519E-2"/>
  </r>
  <r>
    <n v="183"/>
    <x v="181"/>
    <x v="5"/>
    <x v="0"/>
    <s v="Grand Theft Auto V"/>
    <s v="Rust"/>
    <n v="6.2"/>
    <n v="7510"/>
    <n v="0"/>
    <n v="1"/>
    <n v="1695"/>
    <n v="225000"/>
    <n v="0"/>
    <n v="46"/>
    <n v="3.7"/>
    <s v="Wednesday"/>
    <x v="1"/>
    <n v="7964.6017699115046"/>
    <x v="1"/>
    <n v="0"/>
  </r>
  <r>
    <n v="184"/>
    <x v="182"/>
    <x v="9"/>
    <x v="0"/>
    <s v="Just Chatting"/>
    <s v="League of Legends"/>
    <n v="6.7"/>
    <n v="2200"/>
    <n v="24403"/>
    <n v="3.2"/>
    <n v="14031"/>
    <n v="421000"/>
    <n v="46300000"/>
    <n v="797"/>
    <n v="5.4"/>
    <s v="Sunday"/>
    <x v="6"/>
    <n v="1800.2993371819543"/>
    <x v="0"/>
    <n v="5.796437054631829E-2"/>
  </r>
  <r>
    <n v="185"/>
    <x v="183"/>
    <x v="4"/>
    <x v="0"/>
    <s v="Just Chatting"/>
    <s v="IRL"/>
    <n v="4.7"/>
    <n v="8940"/>
    <n v="38859"/>
    <n v="2.2000000000000002"/>
    <n v="8782"/>
    <n v="1780000"/>
    <n v="75600000"/>
    <n v="551"/>
    <n v="4.8"/>
    <s v="Saturday"/>
    <x v="5"/>
    <n v="12161.238897745388"/>
    <x v="0"/>
    <n v="2.1830898876404495E-2"/>
  </r>
  <r>
    <n v="186"/>
    <x v="184"/>
    <x v="1"/>
    <x v="0"/>
    <s v="Grand Theft Auto V"/>
    <s v="Just Chatting"/>
    <n v="3.6"/>
    <n v="1034"/>
    <n v="4450"/>
    <n v="1.9"/>
    <n v="2691"/>
    <n v="756000"/>
    <n v="325000"/>
    <n v="38"/>
    <n v="4.4000000000000004"/>
    <s v="Friday"/>
    <x v="5"/>
    <n v="16856.187290969898"/>
    <x v="1"/>
    <n v="5.8862433862433864E-3"/>
  </r>
  <r>
    <n v="187"/>
    <x v="185"/>
    <x v="2"/>
    <x v="0"/>
    <s v="Minecraft"/>
    <s v="Just Chatting"/>
    <n v="3.1"/>
    <n v="2008"/>
    <n v="1055"/>
    <n v="1.4"/>
    <n v="106"/>
    <n v="665000"/>
    <n v="349000"/>
    <n v="43"/>
    <n v="1.8"/>
    <s v="Monday"/>
    <x v="2"/>
    <n v="376415.09433962265"/>
    <x v="1"/>
    <n v="1.5864661654135339E-3"/>
  </r>
  <r>
    <n v="188"/>
    <x v="186"/>
    <x v="2"/>
    <x v="0"/>
    <s v="Just Chatting"/>
    <s v="Special Events"/>
    <n v="4.3"/>
    <n v="1349"/>
    <n v="32261"/>
    <n v="2"/>
    <n v="2843"/>
    <n v="974000"/>
    <n v="22400000"/>
    <n v="341"/>
    <n v="2.2000000000000002"/>
    <s v="Sunday"/>
    <x v="0"/>
    <n v="20555.750967288077"/>
    <x v="1"/>
    <n v="3.3122176591375771E-2"/>
  </r>
  <r>
    <n v="189"/>
    <x v="187"/>
    <x v="4"/>
    <x v="0"/>
    <s v="Counter-Strike"/>
    <s v="Just Chatting"/>
    <n v="4.2"/>
    <n v="1418"/>
    <n v="7920"/>
    <n v="1.5"/>
    <n v="2586"/>
    <n v="866000"/>
    <n v="484000"/>
    <n v="49"/>
    <n v="2.4"/>
    <s v="Sunday"/>
    <x v="1"/>
    <n v="20092.807424593968"/>
    <x v="1"/>
    <n v="9.1454965357967676E-3"/>
  </r>
  <r>
    <n v="190"/>
    <x v="188"/>
    <x v="0"/>
    <x v="1"/>
    <s v="NBA 2K22"/>
    <s v="NBA 2K20"/>
    <n v="3"/>
    <n v="2610"/>
    <n v="211701"/>
    <n v="1"/>
    <n v="2882"/>
    <n v="237000"/>
    <n v="192000000"/>
    <n v="8"/>
    <n v="3"/>
    <s v="Saturday"/>
    <x v="0"/>
    <n v="4934.0735600277585"/>
    <x v="1"/>
    <n v="0.89325316455696202"/>
  </r>
  <r>
    <n v="191"/>
    <x v="189"/>
    <x v="6"/>
    <x v="0"/>
    <s v="Just Chatting"/>
    <s v="Street Fighter 6"/>
    <n v="4.2"/>
    <n v="2170"/>
    <n v="19944"/>
    <n v="1.1000000000000001"/>
    <n v="1329"/>
    <n v="71100"/>
    <n v="6520000"/>
    <n v="16"/>
    <n v="1.5"/>
    <s v="Sunday"/>
    <x v="3"/>
    <n v="3209.9322799097067"/>
    <x v="1"/>
    <n v="0.28050632911392404"/>
  </r>
  <r>
    <n v="192"/>
    <x v="190"/>
    <x v="5"/>
    <x v="0"/>
    <s v="VALORANT"/>
    <s v="Apex Legends"/>
    <n v="5.8"/>
    <n v="5110"/>
    <n v="1105"/>
    <n v="1.3"/>
    <n v="4939"/>
    <n v="526000"/>
    <n v="1170000"/>
    <n v="88"/>
    <n v="2.2000000000000002"/>
    <s v="Saturday"/>
    <x v="1"/>
    <n v="6389.9574812715127"/>
    <x v="1"/>
    <n v="2.1007604562737641E-3"/>
  </r>
  <r>
    <n v="193"/>
    <x v="191"/>
    <x v="0"/>
    <x v="0"/>
    <s v="Minecraft"/>
    <s v="Just Chatting"/>
    <n v="2.6"/>
    <n v="10314"/>
    <n v="23397"/>
    <n v="1.1000000000000001"/>
    <n v="5520"/>
    <n v="2120000"/>
    <n v="4820000"/>
    <n v="38"/>
    <n v="0.7"/>
    <s v="Saturday"/>
    <x v="0"/>
    <n v="23043.478260869564"/>
    <x v="1"/>
    <n v="1.103632075471698E-2"/>
  </r>
  <r>
    <n v="194"/>
    <x v="192"/>
    <x v="0"/>
    <x v="0"/>
    <s v="Fortnite"/>
    <s v="Minecraft"/>
    <n v="4.2"/>
    <n v="3713"/>
    <n v="37588"/>
    <n v="1.1000000000000001"/>
    <n v="4223"/>
    <n v="4110000"/>
    <n v="41600000"/>
    <n v="42"/>
    <n v="3.2"/>
    <s v="Saturday"/>
    <x v="1"/>
    <n v="58394.506275159831"/>
    <x v="1"/>
    <n v="9.1454987834549886E-3"/>
  </r>
  <r>
    <n v="195"/>
    <x v="193"/>
    <x v="1"/>
    <x v="0"/>
    <s v="Just Chatting"/>
    <s v="Fortnite"/>
    <n v="2.6"/>
    <n v="2580"/>
    <n v="2720"/>
    <n v="1.7"/>
    <n v="2921"/>
    <n v="262000"/>
    <n v="276000"/>
    <n v="36"/>
    <n v="5"/>
    <s v="Wednesday"/>
    <x v="1"/>
    <n v="5381.7185895241355"/>
    <x v="1"/>
    <n v="1.0381679389312977E-2"/>
  </r>
  <r>
    <n v="196"/>
    <x v="194"/>
    <x v="0"/>
    <x v="0"/>
    <s v="Genshin Impact"/>
    <s v="Just Chatting"/>
    <n v="5.5"/>
    <n v="6480"/>
    <n v="11474"/>
    <n v="1.7"/>
    <n v="8008"/>
    <n v="951000"/>
    <n v="16800000"/>
    <n v="285"/>
    <n v="5.3"/>
    <s v="Thursday"/>
    <x v="4"/>
    <n v="7125.3746253746249"/>
    <x v="1"/>
    <n v="1.2065194532071504E-2"/>
  </r>
  <r>
    <n v="197"/>
    <x v="195"/>
    <x v="1"/>
    <x v="0"/>
    <s v="Grand Theft Auto V"/>
    <s v="Just Chatting"/>
    <n v="3.4"/>
    <n v="9053"/>
    <n v="69452"/>
    <n v="1.7"/>
    <n v="1115"/>
    <n v="2680000"/>
    <n v="20400000"/>
    <n v="18"/>
    <n v="1.6"/>
    <s v="Tuesday"/>
    <x v="3"/>
    <n v="144215.24663677131"/>
    <x v="1"/>
    <n v="2.5914925373134327E-2"/>
  </r>
  <r>
    <n v="198"/>
    <x v="196"/>
    <x v="0"/>
    <x v="0"/>
    <s v="League of Legends"/>
    <s v="Path of Exile"/>
    <n v="4.8"/>
    <n v="9620"/>
    <n v="6589"/>
    <n v="1.1000000000000001"/>
    <n v="6108"/>
    <n v="1790000"/>
    <n v="102000000"/>
    <n v="50"/>
    <n v="3.2"/>
    <s v="Friday"/>
    <x v="4"/>
    <n v="17583.497053045186"/>
    <x v="1"/>
    <n v="3.6810055865921787E-3"/>
  </r>
  <r>
    <n v="199"/>
    <x v="197"/>
    <x v="0"/>
    <x v="0"/>
    <s v="Just Chatting"/>
    <s v="Music"/>
    <n v="3.1"/>
    <n v="8880"/>
    <n v="21487"/>
    <n v="1.3"/>
    <n v="2996"/>
    <n v="815000"/>
    <n v="19700000"/>
    <n v="89"/>
    <n v="3.5"/>
    <s v="Friday"/>
    <x v="2"/>
    <n v="16321.762349799734"/>
    <x v="1"/>
    <n v="2.6364417177914112E-2"/>
  </r>
  <r>
    <n v="200"/>
    <x v="198"/>
    <x v="0"/>
    <x v="0"/>
    <s v="Call of Duty: Warzone"/>
    <s v="Call of Duty: Black Ops 4"/>
    <n v="5.2"/>
    <n v="1506"/>
    <n v="32447"/>
    <n v="1.2"/>
    <n v="5777"/>
    <n v="1690000"/>
    <n v="42700000"/>
    <n v="58"/>
    <n v="2.9"/>
    <s v="Thursday"/>
    <x v="1"/>
    <n v="17552.362818071662"/>
    <x v="1"/>
    <n v="1.919940828402367E-2"/>
  </r>
  <r>
    <n v="201"/>
    <x v="199"/>
    <x v="0"/>
    <x v="0"/>
    <s v="Just Chatting"/>
    <s v="Apex Legends"/>
    <n v="5.4"/>
    <n v="1907"/>
    <n v="1367"/>
    <n v="2"/>
    <n v="3668"/>
    <n v="1270000"/>
    <n v="9130000"/>
    <n v="352"/>
    <n v="1.8"/>
    <s v="Wednesday"/>
    <x v="2"/>
    <n v="20774.263904034895"/>
    <x v="1"/>
    <n v="1.0763779527559055E-3"/>
  </r>
  <r>
    <n v="202"/>
    <x v="200"/>
    <x v="3"/>
    <x v="0"/>
    <s v="FIFA 23"/>
    <s v="EA Sports FC 24"/>
    <n v="5.4"/>
    <n v="1261"/>
    <n v="2501"/>
    <n v="1.5"/>
    <n v="1994"/>
    <n v="460000"/>
    <n v="902000"/>
    <n v="24"/>
    <n v="2.6"/>
    <s v="Sunday"/>
    <x v="6"/>
    <n v="13841.524573721163"/>
    <x v="1"/>
    <n v="5.4369565217391308E-3"/>
  </r>
  <r>
    <n v="203"/>
    <x v="201"/>
    <x v="8"/>
    <x v="0"/>
    <s v="Fortnite"/>
    <s v="Just Chatting"/>
    <n v="5.5"/>
    <n v="8880"/>
    <n v="819"/>
    <n v="3.6"/>
    <n v="10623"/>
    <n v="1510000"/>
    <n v="13900000"/>
    <n v="452"/>
    <n v="6.4"/>
    <s v="Monday"/>
    <x v="4"/>
    <n v="8528.6642191471328"/>
    <x v="0"/>
    <n v="5.423841059602649E-4"/>
  </r>
  <r>
    <n v="204"/>
    <x v="202"/>
    <x v="4"/>
    <x v="0"/>
    <s v="Just Chatting"/>
    <s v="Grand Theft Auto V"/>
    <n v="3.3"/>
    <n v="4960"/>
    <n v="1964"/>
    <n v="1.6"/>
    <n v="3215"/>
    <n v="482000"/>
    <n v="1910000"/>
    <n v="48"/>
    <n v="3.5"/>
    <s v="Wednesday"/>
    <x v="1"/>
    <n v="8995.3343701399681"/>
    <x v="1"/>
    <n v="4.0746887966804975E-3"/>
  </r>
  <r>
    <n v="205"/>
    <x v="203"/>
    <x v="4"/>
    <x v="0"/>
    <s v="Dota 2"/>
    <s v="Just Chatting"/>
    <n v="6.8"/>
    <n v="9420"/>
    <n v="22722"/>
    <n v="1.9"/>
    <n v="5242"/>
    <n v="776000"/>
    <n v="18700000"/>
    <n v="59"/>
    <n v="2.8"/>
    <s v="Saturday"/>
    <x v="1"/>
    <n v="8882.1060663868757"/>
    <x v="1"/>
    <n v="2.9280927835051547E-2"/>
  </r>
  <r>
    <n v="206"/>
    <x v="204"/>
    <x v="1"/>
    <x v="0"/>
    <s v="Grand Theft Auto V"/>
    <s v="Just Chatting"/>
    <n v="4.5999999999999996"/>
    <n v="8140"/>
    <n v="14052"/>
    <n v="1.7"/>
    <n v="39"/>
    <n v="750000"/>
    <n v="12900000"/>
    <n v="54"/>
    <n v="2.4"/>
    <s v="Monday"/>
    <x v="2"/>
    <n v="1153846.1538461538"/>
    <x v="1"/>
    <n v="1.8735999999999999E-2"/>
  </r>
  <r>
    <n v="207"/>
    <x v="205"/>
    <x v="1"/>
    <x v="0"/>
    <s v="Just Chatting"/>
    <s v="Resident Evil 4"/>
    <n v="1.8"/>
    <n v="2980"/>
    <n v="5580"/>
    <n v="1"/>
    <n v="1031"/>
    <n v="180000"/>
    <n v="313000"/>
    <n v="17"/>
    <n v="4.2"/>
    <s v="Tuesday"/>
    <x v="4"/>
    <n v="10475.266731328808"/>
    <x v="1"/>
    <n v="3.1E-2"/>
  </r>
  <r>
    <n v="208"/>
    <x v="206"/>
    <x v="0"/>
    <x v="1"/>
    <s v="League of Legends"/>
    <s v="Fortnite"/>
    <n v="4.4000000000000004"/>
    <n v="4361"/>
    <n v="481615"/>
    <n v="1.1000000000000001"/>
    <n v="301"/>
    <n v="2440000"/>
    <n v="269000000"/>
    <n v="122"/>
    <n v="2.1"/>
    <s v="Thursday"/>
    <x v="1"/>
    <n v="486378.73754152824"/>
    <x v="1"/>
    <n v="0.19738319672131147"/>
  </r>
  <r>
    <n v="209"/>
    <x v="207"/>
    <x v="0"/>
    <x v="0"/>
    <s v="FIFA 19"/>
    <s v="FIFA 20"/>
    <n v="4.3"/>
    <n v="4040"/>
    <n v="8337"/>
    <n v="1.3"/>
    <n v="9186"/>
    <n v="928000"/>
    <n v="19100000"/>
    <n v="53"/>
    <n v="5.5"/>
    <s v="Friday"/>
    <x v="2"/>
    <n v="6061.3977792292626"/>
    <x v="1"/>
    <n v="8.9838362068965522E-3"/>
  </r>
  <r>
    <n v="210"/>
    <x v="208"/>
    <x v="2"/>
    <x v="0"/>
    <s v="Grand Theft Auto V"/>
    <s v="Just Chatting"/>
    <n v="3.2"/>
    <n v="4004"/>
    <n v="29395"/>
    <n v="1.4"/>
    <n v="128"/>
    <n v="1500000"/>
    <n v="11000000"/>
    <n v="95"/>
    <n v="1.4"/>
    <s v="Thursday"/>
    <x v="1"/>
    <n v="703125"/>
    <x v="1"/>
    <n v="1.9596666666666665E-2"/>
  </r>
  <r>
    <n v="211"/>
    <x v="209"/>
    <x v="0"/>
    <x v="1"/>
    <s v="Fortnite"/>
    <s v="Sea of Thieves"/>
    <n v="7.3"/>
    <n v="6490"/>
    <n v="14956"/>
    <n v="1.3"/>
    <n v="1329"/>
    <n v="1240000"/>
    <n v="28600000"/>
    <n v="71"/>
    <n v="6.3"/>
    <s v="Friday"/>
    <x v="1"/>
    <n v="55981.941309255082"/>
    <x v="1"/>
    <n v="1.2061290322580645E-2"/>
  </r>
  <r>
    <n v="212"/>
    <x v="210"/>
    <x v="4"/>
    <x v="0"/>
    <s v="Just Chatting"/>
    <s v="Counter-Strike"/>
    <n v="3.6"/>
    <n v="5100"/>
    <n v="9121"/>
    <n v="1.5"/>
    <n v="3198"/>
    <n v="423000"/>
    <n v="7560000"/>
    <n v="99"/>
    <n v="2.7"/>
    <s v="Thursday"/>
    <x v="2"/>
    <n v="7936.2101313320827"/>
    <x v="1"/>
    <n v="2.1562647754137115E-2"/>
  </r>
  <r>
    <n v="213"/>
    <x v="211"/>
    <x v="0"/>
    <x v="0"/>
    <s v="Just Chatting"/>
    <s v="IRL"/>
    <n v="7.6"/>
    <n v="4790"/>
    <n v="28223"/>
    <n v="1.6"/>
    <n v="16123"/>
    <n v="1010000"/>
    <n v="60500000"/>
    <n v="311"/>
    <n v="5.9"/>
    <s v="Sunday"/>
    <x v="1"/>
    <n v="3758.605718538734"/>
    <x v="1"/>
    <n v="2.7943564356435642E-2"/>
  </r>
  <r>
    <n v="214"/>
    <x v="212"/>
    <x v="0"/>
    <x v="1"/>
    <s v="Dota 2"/>
    <s v="Variety"/>
    <n v="6.5"/>
    <n v="1097"/>
    <n v="16835"/>
    <n v="1"/>
    <n v="1411"/>
    <n v="193000"/>
    <n v="2980000"/>
    <n v="2"/>
    <n v="0.7"/>
    <s v="Monday"/>
    <x v="0"/>
    <n v="8206.945428773919"/>
    <x v="1"/>
    <n v="8.72279792746114E-2"/>
  </r>
  <r>
    <n v="215"/>
    <x v="213"/>
    <x v="0"/>
    <x v="0"/>
    <s v="Grand Theft Auto V"/>
    <s v="Escape from Tarkov"/>
    <n v="8"/>
    <n v="2150"/>
    <n v="549"/>
    <n v="1.5"/>
    <n v="1287"/>
    <n v="382000"/>
    <n v="9680000"/>
    <n v="133"/>
    <n v="4.7"/>
    <s v="Tuesday"/>
    <x v="1"/>
    <n v="17808.857808857811"/>
    <x v="1"/>
    <n v="1.4371727748691099E-3"/>
  </r>
  <r>
    <n v="216"/>
    <x v="214"/>
    <x v="1"/>
    <x v="0"/>
    <s v="Just Chatting"/>
    <s v="Fortnite"/>
    <n v="4.5"/>
    <n v="7156"/>
    <n v="15968"/>
    <n v="2"/>
    <n v="6849"/>
    <n v="11900000"/>
    <n v="263000000"/>
    <n v="114"/>
    <n v="6.3"/>
    <s v="Thursday"/>
    <x v="1"/>
    <n v="104248.79544459045"/>
    <x v="1"/>
    <n v="1.3418487394957982E-3"/>
  </r>
  <r>
    <n v="217"/>
    <x v="215"/>
    <x v="0"/>
    <x v="0"/>
    <s v="FIFA 23"/>
    <s v="EA Sports FC 24"/>
    <n v="3.9"/>
    <n v="3370"/>
    <n v="2940"/>
    <n v="1.1000000000000001"/>
    <n v="4318"/>
    <n v="391000"/>
    <n v="341000"/>
    <n v="31"/>
    <n v="3.6"/>
    <s v="Monday"/>
    <x v="0"/>
    <n v="5433.070866141732"/>
    <x v="1"/>
    <n v="7.5191815856777491E-3"/>
  </r>
  <r>
    <n v="218"/>
    <x v="216"/>
    <x v="3"/>
    <x v="0"/>
    <s v="Grand Theft Auto V"/>
    <s v="Just Chatting"/>
    <n v="4.8"/>
    <n v="7410"/>
    <n v="6936"/>
    <n v="2.1"/>
    <n v="484"/>
    <n v="638000"/>
    <n v="6180000"/>
    <n v="167"/>
    <n v="2.8"/>
    <s v="Sunday"/>
    <x v="5"/>
    <n v="79090.909090909088"/>
    <x v="0"/>
    <n v="1.0871473354231975E-2"/>
  </r>
  <r>
    <n v="219"/>
    <x v="217"/>
    <x v="1"/>
    <x v="0"/>
    <s v="League of Legends"/>
    <s v="Just Chatting"/>
    <n v="2.6"/>
    <n v="1859"/>
    <n v="12463"/>
    <n v="1"/>
    <n v="8000"/>
    <n v="456000"/>
    <n v="3060000"/>
    <n v="4"/>
    <n v="1"/>
    <s v="Tuesday"/>
    <x v="2"/>
    <n v="3419.9999999999995"/>
    <x v="1"/>
    <n v="2.7331140350877192E-2"/>
  </r>
  <r>
    <n v="220"/>
    <x v="218"/>
    <x v="0"/>
    <x v="0"/>
    <s v="Just Chatting"/>
    <s v="Pools Hot Tubs and Beaches"/>
    <n v="10"/>
    <n v="4210"/>
    <n v="23323"/>
    <n v="2"/>
    <n v="15738"/>
    <n v="646000"/>
    <n v="34300000"/>
    <n v="80"/>
    <n v="3.8"/>
    <s v="Saturday"/>
    <x v="1"/>
    <n v="2462.8288219595884"/>
    <x v="1"/>
    <n v="3.610371517027864E-2"/>
  </r>
  <r>
    <n v="221"/>
    <x v="219"/>
    <x v="4"/>
    <x v="0"/>
    <s v="Just Chatting"/>
    <s v="Counter-Strike"/>
    <n v="3.9"/>
    <n v="165"/>
    <n v="14754"/>
    <n v="2.1"/>
    <n v="2092"/>
    <n v="890000"/>
    <n v="7950000"/>
    <n v="164"/>
    <n v="2.2000000000000002"/>
    <s v="Saturday"/>
    <x v="1"/>
    <n v="25525.812619502867"/>
    <x v="0"/>
    <n v="1.657752808988764E-2"/>
  </r>
  <r>
    <n v="222"/>
    <x v="220"/>
    <x v="0"/>
    <x v="0"/>
    <s v="Just Chatting"/>
    <s v="VRChat"/>
    <n v="5.0999999999999996"/>
    <n v="3070"/>
    <n v="4295"/>
    <n v="2.2000000000000002"/>
    <n v="937"/>
    <n v="502000"/>
    <n v="7160000"/>
    <n v="636"/>
    <n v="5.3"/>
    <s v="Tuesday"/>
    <x v="1"/>
    <n v="32145.144076840981"/>
    <x v="0"/>
    <n v="8.5557768924302783E-3"/>
  </r>
  <r>
    <n v="223"/>
    <x v="221"/>
    <x v="4"/>
    <x v="0"/>
    <s v="Dota 2"/>
    <s v="Just Chatting"/>
    <n v="4.5999999999999996"/>
    <n v="1800"/>
    <n v="3245"/>
    <n v="1"/>
    <n v="6613"/>
    <n v="281000"/>
    <n v="5070000"/>
    <n v="9"/>
    <n v="4.9000000000000004"/>
    <s v="Monday"/>
    <x v="1"/>
    <n v="2549.523665507334"/>
    <x v="1"/>
    <n v="1.1548042704626334E-2"/>
  </r>
  <r>
    <n v="224"/>
    <x v="222"/>
    <x v="0"/>
    <x v="0"/>
    <s v="VALORANT"/>
    <s v="Just Chatting"/>
    <n v="5.5"/>
    <n v="4142"/>
    <n v="45278"/>
    <n v="1.2"/>
    <n v="4066"/>
    <n v="2850000"/>
    <n v="31100000"/>
    <n v="73"/>
    <n v="3.6"/>
    <s v="Friday"/>
    <x v="1"/>
    <n v="42056.074766355137"/>
    <x v="1"/>
    <n v="1.5887017543859648E-2"/>
  </r>
  <r>
    <n v="225"/>
    <x v="223"/>
    <x v="0"/>
    <x v="0"/>
    <s v="Just Chatting"/>
    <s v="Super Mario Odyssey"/>
    <n v="5.2"/>
    <n v="4290"/>
    <n v="5590"/>
    <n v="1.7"/>
    <n v="5216"/>
    <n v="365000"/>
    <n v="476000"/>
    <n v="204"/>
    <n v="4.8"/>
    <s v="Friday"/>
    <x v="5"/>
    <n v="4198.61963190184"/>
    <x v="1"/>
    <n v="1.5315068493150685E-2"/>
  </r>
  <r>
    <n v="226"/>
    <x v="224"/>
    <x v="0"/>
    <x v="1"/>
    <s v="Brawlhalla"/>
    <s v="Clone Hero"/>
    <n v="2.8"/>
    <n v="1533"/>
    <n v="23674"/>
    <n v="1"/>
    <n v="3818"/>
    <n v="2080000"/>
    <n v="32700000"/>
    <n v="53"/>
    <n v="3.4"/>
    <s v="Tuesday"/>
    <x v="1"/>
    <n v="32687.270822420116"/>
    <x v="1"/>
    <n v="1.1381730769230769E-2"/>
  </r>
  <r>
    <n v="227"/>
    <x v="225"/>
    <x v="5"/>
    <x v="0"/>
    <s v="VALORANT"/>
    <s v="Street Fighter 6"/>
    <n v="7"/>
    <n v="4060"/>
    <n v="1844"/>
    <n v="1.4"/>
    <n v="7789"/>
    <n v="481000"/>
    <n v="2190000"/>
    <n v="153"/>
    <n v="5.9"/>
    <s v="Thursday"/>
    <x v="1"/>
    <n v="3705.2253177558096"/>
    <x v="1"/>
    <n v="3.8336798336798335E-3"/>
  </r>
  <r>
    <n v="228"/>
    <x v="226"/>
    <x v="6"/>
    <x v="0"/>
    <s v="League of Legends"/>
    <s v="Just Chatting"/>
    <n v="6.9"/>
    <n v="1220"/>
    <n v="12933"/>
    <n v="1.8"/>
    <n v="7762"/>
    <n v="152000"/>
    <n v="16100000"/>
    <n v="225"/>
    <n v="3.1"/>
    <s v="Saturday"/>
    <x v="1"/>
    <n v="1174.9549085287297"/>
    <x v="1"/>
    <n v="8.5085526315789473E-2"/>
  </r>
  <r>
    <n v="229"/>
    <x v="227"/>
    <x v="4"/>
    <x v="0"/>
    <s v="Dota 2"/>
    <s v="Variety"/>
    <n v="10"/>
    <n v="1175"/>
    <n v="0"/>
    <n v="1"/>
    <n v="6200"/>
    <n v="78700"/>
    <n v="0"/>
    <n v="2"/>
    <n v="1.1000000000000001"/>
    <s v="Monday"/>
    <x v="2"/>
    <n v="761.61290322580646"/>
    <x v="1"/>
    <n v="0"/>
  </r>
  <r>
    <n v="230"/>
    <x v="228"/>
    <x v="1"/>
    <x v="0"/>
    <s v="Brawl Stars"/>
    <s v="Just Chatting"/>
    <n v="3.2"/>
    <n v="3410"/>
    <n v="3342"/>
    <n v="1.3"/>
    <n v="2349"/>
    <n v="271000"/>
    <n v="2660000"/>
    <n v="37"/>
    <n v="2.4"/>
    <s v="Wednesday"/>
    <x v="1"/>
    <n v="6922.0945083014049"/>
    <x v="1"/>
    <n v="1.2332103321033211E-2"/>
  </r>
  <r>
    <n v="231"/>
    <x v="229"/>
    <x v="0"/>
    <x v="1"/>
    <s v="Dota 2"/>
    <s v="Variety"/>
    <n v="8.3000000000000007"/>
    <n v="1321"/>
    <n v="27968"/>
    <n v="1"/>
    <n v="121"/>
    <n v="209000"/>
    <n v="5080000"/>
    <n v="2"/>
    <n v="0.5"/>
    <s v="Sunday"/>
    <x v="5"/>
    <n v="103636.36363636363"/>
    <x v="1"/>
    <n v="0.13381818181818181"/>
  </r>
  <r>
    <n v="232"/>
    <x v="230"/>
    <x v="0"/>
    <x v="0"/>
    <s v="Just Chatting"/>
    <s v="League of Legends"/>
    <n v="3.8"/>
    <n v="6735"/>
    <n v="158446"/>
    <n v="1.8"/>
    <n v="6455"/>
    <n v="9320000"/>
    <n v="220000000"/>
    <n v="135"/>
    <n v="4.4000000000000004"/>
    <s v="Tuesday"/>
    <x v="6"/>
    <n v="86630.518977536791"/>
    <x v="1"/>
    <n v="1.7000643776824035E-2"/>
  </r>
  <r>
    <n v="233"/>
    <x v="231"/>
    <x v="2"/>
    <x v="0"/>
    <s v="Fortnite"/>
    <s v="Just Chatting"/>
    <n v="6.8"/>
    <n v="4710"/>
    <n v="11348"/>
    <n v="2.2999999999999998"/>
    <n v="8754"/>
    <n v="643000"/>
    <n v="15400000"/>
    <n v="101"/>
    <n v="6.6"/>
    <s v="Sunday"/>
    <x v="1"/>
    <n v="4407.1281699794381"/>
    <x v="0"/>
    <n v="1.7648522550544322E-2"/>
  </r>
  <r>
    <n v="234"/>
    <x v="232"/>
    <x v="0"/>
    <x v="0"/>
    <s v="Games + Demos"/>
    <s v="Trash"/>
    <n v="4.3"/>
    <n v="2130"/>
    <n v="11536"/>
    <n v="2"/>
    <n v="8119"/>
    <n v="603000"/>
    <n v="41000000"/>
    <n v="918"/>
    <n v="4.8"/>
    <s v="Monday"/>
    <x v="2"/>
    <n v="4456.2138194358913"/>
    <x v="1"/>
    <n v="1.9131011608623547E-2"/>
  </r>
  <r>
    <n v="235"/>
    <x v="233"/>
    <x v="4"/>
    <x v="0"/>
    <s v="Just Chatting"/>
    <s v="Counter-Strike"/>
    <n v="3.2"/>
    <n v="9180"/>
    <n v="7317"/>
    <n v="2.1"/>
    <n v="2417"/>
    <n v="665000"/>
    <n v="5300000"/>
    <n v="40"/>
    <n v="5.3"/>
    <s v="Sunday"/>
    <x v="2"/>
    <n v="16508.067852709974"/>
    <x v="0"/>
    <n v="1.1003007518796992E-2"/>
  </r>
  <r>
    <n v="236"/>
    <x v="234"/>
    <x v="7"/>
    <x v="0"/>
    <s v="League of Legends"/>
    <s v="Teamfight Tactics"/>
    <n v="8"/>
    <n v="1143"/>
    <n v="118635"/>
    <n v="2.1"/>
    <n v="15787"/>
    <n v="2440000"/>
    <n v="248000000"/>
    <n v="327"/>
    <n v="5.0999999999999996"/>
    <s v="Thursday"/>
    <x v="0"/>
    <n v="9273.4528409450813"/>
    <x v="0"/>
    <n v="4.8620901639344259E-2"/>
  </r>
  <r>
    <n v="237"/>
    <x v="235"/>
    <x v="3"/>
    <x v="0"/>
    <s v="Minecraft"/>
    <s v="Rocket League"/>
    <n v="6.1"/>
    <n v="6150"/>
    <n v="14577"/>
    <n v="1.9"/>
    <n v="16822"/>
    <n v="1780000"/>
    <n v="41100000"/>
    <n v="304"/>
    <n v="7"/>
    <s v="Thursday"/>
    <x v="0"/>
    <n v="6348.8289145167046"/>
    <x v="1"/>
    <n v="8.1893258426966285E-3"/>
  </r>
  <r>
    <n v="238"/>
    <x v="236"/>
    <x v="2"/>
    <x v="0"/>
    <s v="Teamfight Tactics"/>
    <s v="Special Events"/>
    <n v="4.8"/>
    <n v="4430"/>
    <n v="42842"/>
    <n v="1.5"/>
    <n v="9257"/>
    <n v="886000"/>
    <n v="86100000"/>
    <n v="565"/>
    <n v="4.9000000000000004"/>
    <s v="Wednesday"/>
    <x v="1"/>
    <n v="5742.6812142162689"/>
    <x v="1"/>
    <n v="4.8354401805869071E-2"/>
  </r>
  <r>
    <n v="239"/>
    <x v="237"/>
    <x v="7"/>
    <x v="0"/>
    <s v="Grand Theft Auto V"/>
    <s v="Virtual Casino"/>
    <n v="7.5"/>
    <n v="112"/>
    <n v="50"/>
    <n v="1.9"/>
    <n v="1848"/>
    <n v="277000"/>
    <n v="1300"/>
    <n v="38"/>
    <n v="0.9"/>
    <s v="Thursday"/>
    <x v="4"/>
    <n v="8993.5064935064929"/>
    <x v="1"/>
    <n v="1.8050541516245486E-4"/>
  </r>
  <r>
    <n v="240"/>
    <x v="238"/>
    <x v="0"/>
    <x v="0"/>
    <s v="Dead by Daylight"/>
    <s v="DARK SOULS II: Scholar of the First Sin"/>
    <n v="6"/>
    <n v="5520"/>
    <n v="11278"/>
    <n v="1.2"/>
    <n v="11662"/>
    <n v="1020000"/>
    <n v="20700000"/>
    <n v="141"/>
    <n v="5"/>
    <s v="Saturday"/>
    <x v="4"/>
    <n v="5247.8134110787169"/>
    <x v="1"/>
    <n v="1.1056862745098039E-2"/>
  </r>
  <r>
    <n v="241"/>
    <x v="239"/>
    <x v="1"/>
    <x v="0"/>
    <s v="Just Chatting"/>
    <s v="Minecraft"/>
    <n v="7.2"/>
    <n v="8780"/>
    <n v="6120"/>
    <n v="1.9"/>
    <n v="4766"/>
    <n v="551000"/>
    <n v="394000"/>
    <n v="90"/>
    <n v="2.2000000000000002"/>
    <s v="Wednesday"/>
    <x v="2"/>
    <n v="6936.6344943348713"/>
    <x v="1"/>
    <n v="1.1107078039927405E-2"/>
  </r>
  <r>
    <n v="242"/>
    <x v="240"/>
    <x v="0"/>
    <x v="0"/>
    <s v="Teamfight Tactics"/>
    <s v="Poker"/>
    <n v="6.8"/>
    <n v="2470"/>
    <n v="2840"/>
    <n v="1"/>
    <n v="49"/>
    <n v="165000"/>
    <n v="190000"/>
    <n v="14"/>
    <n v="4"/>
    <s v="Friday"/>
    <x v="2"/>
    <n v="202040.81632653062"/>
    <x v="1"/>
    <n v="1.7212121212121213E-2"/>
  </r>
  <r>
    <n v="243"/>
    <x v="241"/>
    <x v="12"/>
    <x v="0"/>
    <s v="Just Chatting"/>
    <s v="League of Legends"/>
    <n v="5"/>
    <n v="1093"/>
    <n v="38046"/>
    <n v="1.2"/>
    <n v="2602"/>
    <n v="587000"/>
    <n v="20400000"/>
    <n v="31"/>
    <n v="2.8"/>
    <s v="Wednesday"/>
    <x v="1"/>
    <n v="13535.741737125289"/>
    <x v="1"/>
    <n v="6.4814310051107327E-2"/>
  </r>
  <r>
    <n v="244"/>
    <x v="242"/>
    <x v="4"/>
    <x v="0"/>
    <s v="Just Chatting"/>
    <s v="Grand Theft Auto V"/>
    <n v="4.3"/>
    <n v="2800"/>
    <n v="5997"/>
    <n v="1.9"/>
    <n v="584"/>
    <n v="381000"/>
    <n v="8170000"/>
    <n v="101"/>
    <n v="4.3"/>
    <s v="Monday"/>
    <x v="4"/>
    <n v="39143.835616438359"/>
    <x v="1"/>
    <n v="1.5740157480314959E-2"/>
  </r>
  <r>
    <n v="245"/>
    <x v="243"/>
    <x v="2"/>
    <x v="0"/>
    <s v="Minecraft"/>
    <s v="Just Chatting"/>
    <n v="5.3"/>
    <n v="6850"/>
    <n v="27739"/>
    <n v="2.1"/>
    <n v="90920"/>
    <n v="1100000"/>
    <n v="44500000"/>
    <n v="195"/>
    <n v="4.5"/>
    <s v="Saturday"/>
    <x v="0"/>
    <n v="725.91289045314568"/>
    <x v="0"/>
    <n v="2.5217272727272727E-2"/>
  </r>
  <r>
    <n v="246"/>
    <x v="244"/>
    <x v="0"/>
    <x v="0"/>
    <s v="FINAL FANTASY XIV ONLINE"/>
    <s v="Final Fantasy XIV: Heavensward"/>
    <n v="3.6"/>
    <n v="8000"/>
    <n v="23958"/>
    <n v="1"/>
    <n v="1393"/>
    <n v="339000"/>
    <n v="12000000"/>
    <n v="5"/>
    <n v="1"/>
    <s v="Friday"/>
    <x v="0"/>
    <n v="14601.579325197417"/>
    <x v="1"/>
    <n v="7.0672566371681414E-2"/>
  </r>
  <r>
    <n v="247"/>
    <x v="245"/>
    <x v="0"/>
    <x v="0"/>
    <s v="Just Chatting"/>
    <s v="Grand Theft Auto V"/>
    <n v="3.2"/>
    <n v="1839"/>
    <n v="5588"/>
    <n v="1.4"/>
    <n v="2387"/>
    <n v="904000"/>
    <n v="2750000"/>
    <n v="130"/>
    <n v="2.7"/>
    <s v="Tuesday"/>
    <x v="4"/>
    <n v="22723.083368244661"/>
    <x v="1"/>
    <n v="6.1814159292035396E-3"/>
  </r>
  <r>
    <n v="248"/>
    <x v="246"/>
    <x v="1"/>
    <x v="0"/>
    <s v="Sports"/>
    <s v="Just Chatting"/>
    <n v="5.0999999999999996"/>
    <n v="4430"/>
    <n v="2792"/>
    <n v="1"/>
    <n v="5497"/>
    <n v="720000"/>
    <n v="4540000"/>
    <n v="12"/>
    <n v="6"/>
    <s v="Tuesday"/>
    <x v="1"/>
    <n v="7858.8320902310361"/>
    <x v="1"/>
    <n v="3.8777777777777777E-3"/>
  </r>
  <r>
    <n v="249"/>
    <x v="247"/>
    <x v="5"/>
    <x v="0"/>
    <s v="Just Chatting"/>
    <s v="Yu-Gi-Oh! Master Duel"/>
    <n v="6"/>
    <n v="3690"/>
    <n v="2965"/>
    <n v="1.3"/>
    <n v="3716"/>
    <n v="261000"/>
    <n v="2100000"/>
    <n v="89"/>
    <n v="4.8"/>
    <s v="Saturday"/>
    <x v="1"/>
    <n v="4214.2088266953715"/>
    <x v="1"/>
    <n v="1.1360153256704981E-2"/>
  </r>
  <r>
    <n v="250"/>
    <x v="248"/>
    <x v="0"/>
    <x v="0"/>
    <s v="Just Chatting"/>
    <s v="NBA 2K19"/>
    <n v="2.4"/>
    <n v="7086"/>
    <n v="4392"/>
    <n v="1.3"/>
    <n v="7110"/>
    <n v="2100000"/>
    <n v="1300000"/>
    <n v="49"/>
    <n v="0.8"/>
    <s v="Friday"/>
    <x v="4"/>
    <n v="17721.518987341773"/>
    <x v="1"/>
    <n v="2.0914285714285713E-3"/>
  </r>
  <r>
    <n v="251"/>
    <x v="249"/>
    <x v="7"/>
    <x v="0"/>
    <s v="Grand Theft Auto V"/>
    <s v="Just Chatting"/>
    <n v="5.6"/>
    <n v="5720"/>
    <n v="5979"/>
    <n v="1.6"/>
    <n v="7712"/>
    <n v="764000"/>
    <n v="7990000"/>
    <n v="121"/>
    <n v="4.3"/>
    <s v="Friday"/>
    <x v="1"/>
    <n v="5943.9834024896263"/>
    <x v="1"/>
    <n v="7.825916230366492E-3"/>
  </r>
  <r>
    <n v="252"/>
    <x v="250"/>
    <x v="1"/>
    <x v="0"/>
    <s v="Just Chatting"/>
    <s v="League of Legends"/>
    <n v="5.2"/>
    <n v="5580"/>
    <n v="1548"/>
    <n v="1.4"/>
    <n v="804"/>
    <n v="949000"/>
    <n v="2640000"/>
    <n v="29"/>
    <n v="4.3"/>
    <s v="Monday"/>
    <x v="6"/>
    <n v="70820.895522388062"/>
    <x v="1"/>
    <n v="1.6311907270811379E-3"/>
  </r>
  <r>
    <n v="253"/>
    <x v="251"/>
    <x v="0"/>
    <x v="0"/>
    <s v="Grand Theft Auto V"/>
    <s v="Just Chatting"/>
    <n v="4.8"/>
    <n v="3654"/>
    <n v="2117"/>
    <n v="2"/>
    <n v="2825"/>
    <n v="2049999"/>
    <n v="1190000"/>
    <n v="85"/>
    <n v="1.5"/>
    <s v="Thursday"/>
    <x v="5"/>
    <n v="43539.801769911501"/>
    <x v="1"/>
    <n v="1.0326834305772832E-3"/>
  </r>
  <r>
    <n v="254"/>
    <x v="252"/>
    <x v="9"/>
    <x v="0"/>
    <s v="Just Chatting"/>
    <s v="I'm Only Sleeping"/>
    <n v="5.5"/>
    <n v="7210"/>
    <n v="4497"/>
    <n v="1.3"/>
    <n v="3783"/>
    <n v="437000"/>
    <n v="2730000"/>
    <n v="43"/>
    <n v="2.7"/>
    <s v="Wednesday"/>
    <x v="1"/>
    <n v="6931.0071371927042"/>
    <x v="1"/>
    <n v="1.0290617848970252E-2"/>
  </r>
  <r>
    <n v="255"/>
    <x v="253"/>
    <x v="0"/>
    <x v="0"/>
    <s v="Just Chatting"/>
    <s v="Minecraft"/>
    <n v="5.5"/>
    <n v="1101"/>
    <n v="0"/>
    <n v="2.2999999999999998"/>
    <n v="1877"/>
    <n v="330000"/>
    <n v="0"/>
    <n v="159"/>
    <n v="6.3"/>
    <s v="Sunday"/>
    <x v="1"/>
    <n v="10548.74800213106"/>
    <x v="0"/>
    <n v="0"/>
  </r>
  <r>
    <n v="256"/>
    <x v="254"/>
    <x v="2"/>
    <x v="0"/>
    <s v="League of Legends"/>
    <s v="VALORANT"/>
    <n v="5.4"/>
    <n v="1980"/>
    <n v="5500"/>
    <n v="1.3"/>
    <n v="4593"/>
    <n v="184000"/>
    <n v="513000"/>
    <n v="47"/>
    <n v="6.8"/>
    <s v="Tuesday"/>
    <x v="4"/>
    <n v="2403.6577400391902"/>
    <x v="1"/>
    <n v="2.9891304347826088E-2"/>
  </r>
  <r>
    <n v="257"/>
    <x v="255"/>
    <x v="3"/>
    <x v="0"/>
    <s v="Just Chatting"/>
    <s v="Variety"/>
    <n v="12"/>
    <n v="910"/>
    <n v="33518"/>
    <n v="5.0999999999999996"/>
    <n v="30503"/>
    <n v="238000"/>
    <n v="83500000"/>
    <n v="1236"/>
    <n v="6.5"/>
    <s v="Thursday"/>
    <x v="4"/>
    <n v="468.15067370422582"/>
    <x v="0"/>
    <n v="0.14083193277310924"/>
  </r>
  <r>
    <n v="258"/>
    <x v="256"/>
    <x v="3"/>
    <x v="0"/>
    <s v="Just Chatting"/>
    <s v="EA Sports FC 24"/>
    <n v="1.6"/>
    <n v="8410"/>
    <n v="0"/>
    <n v="1.3"/>
    <n v="5880"/>
    <n v="311000"/>
    <n v="0"/>
    <n v="36"/>
    <n v="5.9"/>
    <s v="Monday"/>
    <x v="1"/>
    <n v="3173.4693877551022"/>
    <x v="1"/>
    <n v="0"/>
  </r>
  <r>
    <n v="259"/>
    <x v="257"/>
    <x v="0"/>
    <x v="0"/>
    <s v="League of Legends"/>
    <s v="ELDEN RING"/>
    <n v="4.5999999999999996"/>
    <n v="1620"/>
    <n v="6212"/>
    <n v="1.1000000000000001"/>
    <n v="6129"/>
    <n v="452000"/>
    <n v="20100000"/>
    <n v="32"/>
    <n v="3.4"/>
    <s v="Tuesday"/>
    <x v="2"/>
    <n v="4424.8653940283893"/>
    <x v="1"/>
    <n v="1.3743362831858407E-2"/>
  </r>
  <r>
    <n v="260"/>
    <x v="258"/>
    <x v="7"/>
    <x v="1"/>
    <s v="VALORANT"/>
    <s v="Talk Shows &amp; Podcasts"/>
    <n v="5.3"/>
    <n v="1647"/>
    <n v="36671"/>
    <n v="1"/>
    <n v="272"/>
    <n v="750000"/>
    <n v="16600000"/>
    <n v="3"/>
    <n v="2.8"/>
    <s v="Saturday"/>
    <x v="1"/>
    <n v="165441.17647058825"/>
    <x v="1"/>
    <n v="4.889466666666667E-2"/>
  </r>
  <r>
    <n v="261"/>
    <x v="259"/>
    <x v="6"/>
    <x v="0"/>
    <s v="Talk Shows &amp; Podcasts"/>
    <s v="Tom Clancy's Rainbow Six Siege"/>
    <n v="5.0999999999999996"/>
    <n v="880"/>
    <n v="33342"/>
    <n v="1.8"/>
    <n v="13349"/>
    <n v="548000"/>
    <n v="138000000"/>
    <n v="1256"/>
    <n v="6.7"/>
    <s v="Saturday"/>
    <x v="1"/>
    <n v="2463.1058506255154"/>
    <x v="1"/>
    <n v="6.0843065693430655E-2"/>
  </r>
  <r>
    <n v="262"/>
    <x v="260"/>
    <x v="9"/>
    <x v="0"/>
    <s v="Counter-Strike"/>
    <s v="Call of Duty: Warzone"/>
    <n v="6.8"/>
    <n v="5450"/>
    <n v="51797"/>
    <n v="1.6"/>
    <n v="13869"/>
    <n v="1950000"/>
    <n v="190000000"/>
    <n v="195"/>
    <n v="5.2"/>
    <s v="Tuesday"/>
    <x v="3"/>
    <n v="8436.0804672290724"/>
    <x v="1"/>
    <n v="2.6562564102564103E-2"/>
  </r>
  <r>
    <n v="263"/>
    <x v="261"/>
    <x v="6"/>
    <x v="0"/>
    <s v="League of Legends"/>
    <s v="Just Chatting"/>
    <n v="5.3"/>
    <n v="1200"/>
    <n v="26169"/>
    <n v="1.3"/>
    <n v="10186"/>
    <n v="288000"/>
    <n v="53000000"/>
    <n v="88"/>
    <n v="4.8"/>
    <s v="Sunday"/>
    <x v="5"/>
    <n v="1696.4461024936186"/>
    <x v="1"/>
    <n v="9.0864583333333332E-2"/>
  </r>
  <r>
    <n v="264"/>
    <x v="262"/>
    <x v="7"/>
    <x v="0"/>
    <s v="Sports"/>
    <s v="Just Chatting"/>
    <n v="6.6"/>
    <n v="2500"/>
    <n v="5614"/>
    <n v="2.1"/>
    <n v="9336"/>
    <n v="344000"/>
    <n v="7720000"/>
    <n v="121"/>
    <n v="4.8"/>
    <s v="Tuesday"/>
    <x v="4"/>
    <n v="2210.796915167095"/>
    <x v="0"/>
    <n v="1.6319767441860464E-2"/>
  </r>
  <r>
    <n v="265"/>
    <x v="263"/>
    <x v="3"/>
    <x v="0"/>
    <s v="Just Chatting"/>
    <s v="Grand Theft Auto V"/>
    <n v="5.3"/>
    <n v="1120"/>
    <n v="11031"/>
    <n v="1.8"/>
    <n v="12214"/>
    <n v="348000"/>
    <n v="34000000"/>
    <n v="272"/>
    <n v="5.9"/>
    <s v="Sunday"/>
    <x v="1"/>
    <n v="1709.5136728344523"/>
    <x v="1"/>
    <n v="3.1698275862068963E-2"/>
  </r>
  <r>
    <n v="266"/>
    <x v="264"/>
    <x v="0"/>
    <x v="0"/>
    <s v="Just Chatting"/>
    <s v="NBA 2K17"/>
    <n v="4.3"/>
    <n v="6390"/>
    <n v="5029"/>
    <n v="1.1000000000000001"/>
    <n v="3736"/>
    <n v="556000"/>
    <n v="4610000"/>
    <n v="16"/>
    <n v="2.2000000000000002"/>
    <s v="Friday"/>
    <x v="3"/>
    <n v="8929.3361884368314"/>
    <x v="1"/>
    <n v="9.0449640287769782E-3"/>
  </r>
  <r>
    <n v="267"/>
    <x v="265"/>
    <x v="0"/>
    <x v="1"/>
    <s v="Counter-Strike"/>
    <s v="Sports"/>
    <n v="10.5"/>
    <n v="4550"/>
    <n v="44292"/>
    <n v="1"/>
    <n v="944"/>
    <n v="417000"/>
    <n v="40700000"/>
    <n v="3"/>
    <n v="3.1"/>
    <s v="Wednesday"/>
    <x v="4"/>
    <n v="26504.237288135595"/>
    <x v="1"/>
    <n v="0.1062158273381295"/>
  </r>
  <r>
    <n v="268"/>
    <x v="266"/>
    <x v="4"/>
    <x v="0"/>
    <s v="Dota 2"/>
    <s v="Counter-Strike"/>
    <n v="4.5"/>
    <n v="4420"/>
    <n v="1578"/>
    <n v="1"/>
    <n v="1998"/>
    <n v="209000"/>
    <n v="745000"/>
    <n v="5"/>
    <n v="1.4"/>
    <s v="Tuesday"/>
    <x v="5"/>
    <n v="6276.2762762762768"/>
    <x v="1"/>
    <n v="7.5502392344497611E-3"/>
  </r>
  <r>
    <n v="269"/>
    <x v="267"/>
    <x v="1"/>
    <x v="0"/>
    <s v="Warframe"/>
    <m/>
    <n v="1.2"/>
    <n v="7040"/>
    <n v="2955"/>
    <n v="1"/>
    <n v="3230"/>
    <n v="188000"/>
    <n v="790000"/>
    <n v="1"/>
    <n v="0.7"/>
    <s v="Wednesday"/>
    <x v="6"/>
    <n v="3492.2600619195046"/>
    <x v="1"/>
    <n v="1.5718085106382979E-2"/>
  </r>
  <r>
    <n v="270"/>
    <x v="268"/>
    <x v="10"/>
    <x v="0"/>
    <s v="Just Chatting"/>
    <s v="Counter-Strike"/>
    <n v="4.5999999999999996"/>
    <n v="1802"/>
    <n v="40222"/>
    <n v="2.2000000000000002"/>
    <n v="6542"/>
    <n v="2300000"/>
    <n v="51400000"/>
    <n v="504"/>
    <n v="4.0999999999999996"/>
    <s v="Wednesday"/>
    <x v="6"/>
    <n v="21094.466523998777"/>
    <x v="0"/>
    <n v="1.7487826086956523E-2"/>
  </r>
  <r>
    <n v="271"/>
    <x v="269"/>
    <x v="0"/>
    <x v="0"/>
    <s v="Fortnite"/>
    <s v="PUBG: BATTLEGROUNDS"/>
    <n v="7.4"/>
    <n v="9552"/>
    <n v="28075"/>
    <n v="1.3"/>
    <n v="1247"/>
    <n v="19000000"/>
    <n v="572000000"/>
    <n v="70"/>
    <n v="4.0999999999999996"/>
    <s v="Thursday"/>
    <x v="1"/>
    <n v="914194.06575781864"/>
    <x v="1"/>
    <n v="1.4776315789473684E-3"/>
  </r>
  <r>
    <n v="272"/>
    <x v="270"/>
    <x v="0"/>
    <x v="0"/>
    <s v="ELDEN RING"/>
    <s v="DARK SOULS III"/>
    <n v="8.3000000000000007"/>
    <n v="1870"/>
    <n v="11272"/>
    <n v="1.6"/>
    <n v="21939"/>
    <n v="644000"/>
    <n v="38400000"/>
    <n v="557"/>
    <n v="6.7"/>
    <s v="Wednesday"/>
    <x v="1"/>
    <n v="1761.2470942157802"/>
    <x v="1"/>
    <n v="1.7503105590062112E-2"/>
  </r>
  <r>
    <n v="273"/>
    <x v="271"/>
    <x v="4"/>
    <x v="0"/>
    <s v="Counter-Strike"/>
    <s v="Dota 2"/>
    <n v="8.4"/>
    <n v="3370"/>
    <n v="45839"/>
    <n v="1"/>
    <n v="11451"/>
    <n v="334000"/>
    <n v="58100000"/>
    <n v="4"/>
    <n v="2.5"/>
    <s v="Wednesday"/>
    <x v="1"/>
    <n v="1750.065496463191"/>
    <x v="1"/>
    <n v="0.13724251497005988"/>
  </r>
  <r>
    <n v="274"/>
    <x v="272"/>
    <x v="4"/>
    <x v="0"/>
    <s v="Just Chatting"/>
    <s v="Virtual Casino"/>
    <n v="2.7"/>
    <n v="2097"/>
    <n v="14381"/>
    <n v="1.1000000000000001"/>
    <n v="227"/>
    <n v="1790000"/>
    <n v="12300000"/>
    <n v="29"/>
    <n v="4.0999999999999996"/>
    <s v="Sunday"/>
    <x v="1"/>
    <n v="473127.7533039648"/>
    <x v="1"/>
    <n v="8.0340782122905029E-3"/>
  </r>
  <r>
    <n v="275"/>
    <x v="273"/>
    <x v="8"/>
    <x v="0"/>
    <s v="Just Chatting"/>
    <s v="I'm Only Sleeping"/>
    <n v="3.2"/>
    <n v="9910"/>
    <n v="0"/>
    <n v="1.2"/>
    <n v="125"/>
    <n v="380000"/>
    <n v="0"/>
    <n v="21"/>
    <n v="4.4000000000000004"/>
    <s v="Tuesday"/>
    <x v="0"/>
    <n v="182400"/>
    <x v="1"/>
    <n v="0"/>
  </r>
  <r>
    <n v="276"/>
    <x v="274"/>
    <x v="2"/>
    <x v="0"/>
    <s v="Fortnite"/>
    <s v="Special Events"/>
    <n v="3.3"/>
    <n v="1249"/>
    <n v="23308"/>
    <n v="1.3"/>
    <n v="5450"/>
    <n v="1960000"/>
    <n v="3670000"/>
    <n v="42"/>
    <n v="0.5"/>
    <s v="Sunday"/>
    <x v="0"/>
    <n v="21577.981651376147"/>
    <x v="1"/>
    <n v="1.1891836734693878E-2"/>
  </r>
  <r>
    <n v="277"/>
    <x v="275"/>
    <x v="5"/>
    <x v="0"/>
    <s v="Grand Theft Auto V"/>
    <s v="Variety"/>
    <n v="6.4"/>
    <n v="3220"/>
    <n v="0"/>
    <n v="1"/>
    <n v="2511"/>
    <n v="136000"/>
    <n v="8"/>
    <n v="7"/>
    <n v="4.9000000000000004"/>
    <s v="Sunday"/>
    <x v="1"/>
    <n v="3249.7013142174433"/>
    <x v="1"/>
    <n v="0"/>
  </r>
  <r>
    <n v="278"/>
    <x v="276"/>
    <x v="0"/>
    <x v="0"/>
    <s v="Just Chatting"/>
    <s v="VRChat"/>
    <n v="2.7"/>
    <n v="1602"/>
    <n v="1003"/>
    <n v="1.6"/>
    <n v="2173"/>
    <n v="873000"/>
    <n v="547000"/>
    <n v="146"/>
    <n v="4.9000000000000004"/>
    <s v="Sunday"/>
    <x v="0"/>
    <n v="24104.924068108605"/>
    <x v="1"/>
    <n v="1.1489117983963346E-3"/>
  </r>
  <r>
    <n v="279"/>
    <x v="277"/>
    <x v="4"/>
    <x v="0"/>
    <s v="Dota 2"/>
    <s v="The Dark Pictures Anthology: Little Hope"/>
    <n v="3.8"/>
    <n v="1135"/>
    <n v="27591"/>
    <n v="1"/>
    <n v="1202"/>
    <n v="386000"/>
    <n v="9270000"/>
    <n v="11"/>
    <n v="0.8"/>
    <s v="Thursday"/>
    <x v="4"/>
    <n v="19267.886855241264"/>
    <x v="1"/>
    <n v="7.1479274611398969E-2"/>
  </r>
  <r>
    <n v="280"/>
    <x v="278"/>
    <x v="0"/>
    <x v="0"/>
    <s v="Super Mario World"/>
    <s v="Super Mario Maker"/>
    <n v="9.3000000000000007"/>
    <n v="490"/>
    <n v="4404"/>
    <n v="1.7"/>
    <n v="24527"/>
    <n v="214000"/>
    <n v="19200000"/>
    <n v="515"/>
    <n v="6.7"/>
    <s v="Friday"/>
    <x v="6"/>
    <n v="523.50470909609817"/>
    <x v="1"/>
    <n v="2.0579439252336448E-2"/>
  </r>
  <r>
    <n v="281"/>
    <x v="279"/>
    <x v="4"/>
    <x v="0"/>
    <s v="Just Chatting"/>
    <s v="Minecraft"/>
    <n v="3.8"/>
    <n v="4850"/>
    <n v="3008"/>
    <n v="2.1"/>
    <n v="3857"/>
    <n v="503000"/>
    <n v="3360000"/>
    <n v="311"/>
    <n v="2.6"/>
    <s v="Sunday"/>
    <x v="3"/>
    <n v="7824.7342494166451"/>
    <x v="0"/>
    <n v="5.9801192842942347E-3"/>
  </r>
  <r>
    <n v="282"/>
    <x v="280"/>
    <x v="1"/>
    <x v="0"/>
    <s v="Sports"/>
    <s v="Sports"/>
    <n v="2.5"/>
    <n v="210"/>
    <n v="530"/>
    <n v="1"/>
    <n v="1422"/>
    <n v="14400"/>
    <n v="36700"/>
    <n v="11"/>
    <n v="2.2999999999999998"/>
    <s v="Tuesday"/>
    <x v="2"/>
    <n v="607.59493670886081"/>
    <x v="1"/>
    <n v="3.6805555555555557E-2"/>
  </r>
  <r>
    <n v="283"/>
    <x v="281"/>
    <x v="4"/>
    <x v="0"/>
    <s v="Just Chatting"/>
    <s v="Grand Theft Auto V"/>
    <n v="3.3"/>
    <n v="1970"/>
    <n v="1876"/>
    <n v="1.5"/>
    <n v="3435"/>
    <n v="213000"/>
    <n v="2029999"/>
    <n v="23"/>
    <n v="4"/>
    <s v="Friday"/>
    <x v="4"/>
    <n v="3720.524017467249"/>
    <x v="1"/>
    <n v="8.8075117370892027E-3"/>
  </r>
  <r>
    <n v="284"/>
    <x v="282"/>
    <x v="0"/>
    <x v="0"/>
    <s v="Grand Theft Auto V"/>
    <s v="Left 4 Dead 2"/>
    <n v="5.4"/>
    <n v="1320"/>
    <n v="4750"/>
    <n v="1.1000000000000001"/>
    <n v="436"/>
    <n v="92600"/>
    <n v="332000"/>
    <n v="24"/>
    <n v="4.5"/>
    <s v="Tuesday"/>
    <x v="1"/>
    <n v="12743.119266055046"/>
    <x v="1"/>
    <n v="5.129589632829374E-2"/>
  </r>
  <r>
    <n v="285"/>
    <x v="283"/>
    <x v="0"/>
    <x v="1"/>
    <s v="Chess"/>
    <s v="Chess (5)"/>
    <n v="4.9000000000000004"/>
    <n v="4700"/>
    <n v="129772"/>
    <n v="1"/>
    <n v="1076"/>
    <n v="1150000"/>
    <n v="348000000"/>
    <n v="7"/>
    <n v="4.9000000000000004"/>
    <s v="Tuesday"/>
    <x v="1"/>
    <n v="64126.394052044612"/>
    <x v="1"/>
    <n v="0.11284521739130435"/>
  </r>
  <r>
    <n v="286"/>
    <x v="284"/>
    <x v="0"/>
    <x v="0"/>
    <s v="Dead by Daylight"/>
    <s v="They Are Billions"/>
    <n v="7.7"/>
    <n v="2300"/>
    <n v="3093"/>
    <n v="1.6"/>
    <n v="18497"/>
    <n v="841000"/>
    <n v="83500000"/>
    <n v="542"/>
    <n v="6.1"/>
    <s v="Monday"/>
    <x v="3"/>
    <n v="2728.0099475590632"/>
    <x v="1"/>
    <n v="3.6777645659928655E-3"/>
  </r>
  <r>
    <n v="287"/>
    <x v="285"/>
    <x v="3"/>
    <x v="0"/>
    <s v="Grand Theft Auto V"/>
    <s v="Just Chatting"/>
    <n v="6.8"/>
    <n v="8160"/>
    <n v="12775"/>
    <n v="2.4"/>
    <n v="8411"/>
    <n v="1040000"/>
    <n v="16300000"/>
    <n v="146"/>
    <n v="5.3"/>
    <s v="Wednesday"/>
    <x v="1"/>
    <n v="7418.8562596599686"/>
    <x v="0"/>
    <n v="1.2283653846153847E-2"/>
  </r>
  <r>
    <n v="288"/>
    <x v="286"/>
    <x v="0"/>
    <x v="0"/>
    <s v="Just Chatting"/>
    <s v="osu!"/>
    <n v="5"/>
    <n v="1816"/>
    <n v="2200"/>
    <n v="1.2"/>
    <n v="1629"/>
    <n v="543000"/>
    <n v="66000"/>
    <n v="33"/>
    <n v="1.1000000000000001"/>
    <s v="Monday"/>
    <x v="4"/>
    <n v="20000"/>
    <x v="1"/>
    <n v="4.0515653775322286E-3"/>
  </r>
  <r>
    <n v="289"/>
    <x v="287"/>
    <x v="1"/>
    <x v="0"/>
    <s v="Just Chatting"/>
    <s v="Minecraft"/>
    <n v="3.5"/>
    <n v="3797"/>
    <n v="5117"/>
    <n v="1.9"/>
    <n v="2469"/>
    <n v="2420000"/>
    <n v="3280000"/>
    <n v="148"/>
    <n v="2"/>
    <s v="Tuesday"/>
    <x v="1"/>
    <n v="58809.234507897934"/>
    <x v="1"/>
    <n v="2.1144628099173555E-3"/>
  </r>
  <r>
    <n v="290"/>
    <x v="288"/>
    <x v="2"/>
    <x v="0"/>
    <s v="Fortnite"/>
    <s v="League of Legends"/>
    <n v="4.5999999999999996"/>
    <n v="1806"/>
    <n v="31321"/>
    <n v="1.8"/>
    <n v="4603"/>
    <n v="1810000"/>
    <n v="31700000"/>
    <n v="185"/>
    <n v="2.6"/>
    <s v="Thursday"/>
    <x v="1"/>
    <n v="23593.308711709753"/>
    <x v="1"/>
    <n v="1.7304419889502761E-2"/>
  </r>
  <r>
    <n v="291"/>
    <x v="289"/>
    <x v="0"/>
    <x v="0"/>
    <s v="Counter-Strike"/>
    <s v="Apex Legends"/>
    <n v="2.1"/>
    <n v="6070"/>
    <n v="261664"/>
    <n v="1"/>
    <n v="1030"/>
    <n v="20400"/>
    <n v="8640000"/>
    <n v="15"/>
    <n v="0.3"/>
    <s v="Friday"/>
    <x v="5"/>
    <n v="1188.3495145631068"/>
    <x v="1"/>
    <n v="12.826666666666666"/>
  </r>
  <r>
    <n v="292"/>
    <x v="290"/>
    <x v="0"/>
    <x v="0"/>
    <s v="Dead by Daylight"/>
    <s v="Fortnite"/>
    <n v="4.9000000000000004"/>
    <n v="1820"/>
    <n v="8940"/>
    <n v="1"/>
    <n v="6266"/>
    <n v="235000"/>
    <n v="1160000"/>
    <n v="37"/>
    <n v="4"/>
    <s v="Wednesday"/>
    <x v="2"/>
    <n v="2250.2393871688478"/>
    <x v="1"/>
    <n v="3.8042553191489359E-2"/>
  </r>
  <r>
    <n v="293"/>
    <x v="291"/>
    <x v="2"/>
    <x v="0"/>
    <s v="Just Chatting"/>
    <s v="VALORANT"/>
    <n v="3.6"/>
    <n v="8840"/>
    <n v="11797"/>
    <n v="1.1000000000000001"/>
    <n v="2678"/>
    <n v="779000"/>
    <n v="9950000"/>
    <n v="42"/>
    <n v="4.2"/>
    <s v="Monday"/>
    <x v="0"/>
    <n v="17453.323375653472"/>
    <x v="1"/>
    <n v="1.5143774069319641E-2"/>
  </r>
  <r>
    <n v="294"/>
    <x v="292"/>
    <x v="5"/>
    <x v="0"/>
    <s v="Street Fighter 6"/>
    <s v="Street Fighter V"/>
    <n v="5.4"/>
    <n v="1390"/>
    <n v="157"/>
    <n v="1.2"/>
    <n v="3842"/>
    <n v="113000"/>
    <n v="1270000"/>
    <n v="70"/>
    <n v="2.2000000000000002"/>
    <s v="Tuesday"/>
    <x v="1"/>
    <n v="1764.7058823529412"/>
    <x v="1"/>
    <n v="1.3893805309734514E-3"/>
  </r>
  <r>
    <n v="295"/>
    <x v="293"/>
    <x v="1"/>
    <x v="0"/>
    <s v="Just Chatting"/>
    <s v="Watch TV"/>
    <n v="5.5"/>
    <n v="5310"/>
    <n v="140"/>
    <n v="1"/>
    <n v="3341"/>
    <n v="550000"/>
    <n v="14300"/>
    <n v="9"/>
    <n v="4.2"/>
    <s v="Tuesday"/>
    <x v="2"/>
    <n v="9877.2822508231075"/>
    <x v="1"/>
    <n v="2.5454545454545456E-4"/>
  </r>
  <r>
    <n v="296"/>
    <x v="294"/>
    <x v="10"/>
    <x v="0"/>
    <s v="Counter-Strike"/>
    <s v="Counter-Strike 2 Limited Test"/>
    <n v="2.7"/>
    <n v="5090"/>
    <n v="19624"/>
    <n v="1.2"/>
    <n v="1644"/>
    <n v="311000"/>
    <n v="12000000"/>
    <n v="17"/>
    <n v="1.7"/>
    <s v="Monday"/>
    <x v="5"/>
    <n v="11350.364963503651"/>
    <x v="1"/>
    <n v="6.3099678456591646E-2"/>
  </r>
  <r>
    <n v="297"/>
    <x v="295"/>
    <x v="8"/>
    <x v="0"/>
    <s v="Just Chatting"/>
    <s v="Talk Shows &amp; Podcasts"/>
    <n v="5.3"/>
    <n v="3490"/>
    <n v="14059"/>
    <n v="1.8"/>
    <n v="9101"/>
    <n v="589000"/>
    <n v="23700000"/>
    <n v="315"/>
    <n v="5.4"/>
    <s v="Tuesday"/>
    <x v="2"/>
    <n v="3883.0897703549058"/>
    <x v="1"/>
    <n v="2.3869269949066213E-2"/>
  </r>
  <r>
    <n v="298"/>
    <x v="296"/>
    <x v="0"/>
    <x v="0"/>
    <s v="The Sims 4"/>
    <s v="Animal Crossing: New Horizons"/>
    <n v="3.3"/>
    <n v="4800"/>
    <n v="6624"/>
    <n v="1.1000000000000001"/>
    <n v="5972"/>
    <n v="849000"/>
    <n v="11700000"/>
    <n v="54"/>
    <n v="5.2"/>
    <s v="Tuesday"/>
    <x v="0"/>
    <n v="8529.8057602143344"/>
    <x v="1"/>
    <n v="7.8021201413427561E-3"/>
  </r>
  <r>
    <n v="299"/>
    <x v="297"/>
    <x v="0"/>
    <x v="0"/>
    <s v="Grand Theft Auto V"/>
    <s v="Just Chatting"/>
    <n v="7"/>
    <n v="1850"/>
    <n v="11645"/>
    <n v="1.3"/>
    <n v="15728"/>
    <n v="360000"/>
    <n v="22600000"/>
    <n v="173"/>
    <n v="5.8"/>
    <s v="Thursday"/>
    <x v="1"/>
    <n v="1373.3468972533062"/>
    <x v="1"/>
    <n v="3.2347222222222222E-2"/>
  </r>
  <r>
    <n v="300"/>
    <x v="298"/>
    <x v="0"/>
    <x v="0"/>
    <s v="Apex Legends"/>
    <s v="Counter-Strike"/>
    <n v="5.2"/>
    <n v="2050"/>
    <n v="23157"/>
    <n v="1.9"/>
    <n v="8261"/>
    <n v="564000"/>
    <n v="38800000"/>
    <n v="125"/>
    <n v="4"/>
    <s v="Tuesday"/>
    <x v="4"/>
    <n v="4096.356373320421"/>
    <x v="1"/>
    <n v="4.1058510638297872E-2"/>
  </r>
  <r>
    <n v="301"/>
    <x v="299"/>
    <x v="0"/>
    <x v="0"/>
    <s v="Overwatch"/>
    <s v="Overwatch 2"/>
    <n v="6.2"/>
    <n v="3700"/>
    <n v="8919"/>
    <n v="1.8"/>
    <n v="10965"/>
    <n v="643000"/>
    <n v="15500000"/>
    <n v="274"/>
    <n v="4.7"/>
    <s v="Tuesday"/>
    <x v="6"/>
    <n v="3518.4678522571821"/>
    <x v="1"/>
    <n v="1.3870917573872472E-2"/>
  </r>
  <r>
    <n v="302"/>
    <x v="300"/>
    <x v="0"/>
    <x v="0"/>
    <s v="Among Us"/>
    <s v="VALORANT"/>
    <n v="13.2"/>
    <n v="1410"/>
    <n v="3120"/>
    <n v="3.1"/>
    <n v="16138"/>
    <n v="156000"/>
    <n v="378000"/>
    <n v="136"/>
    <n v="5.7"/>
    <s v="Thursday"/>
    <x v="5"/>
    <n v="579.99752137811379"/>
    <x v="0"/>
    <n v="0.02"/>
  </r>
  <r>
    <n v="303"/>
    <x v="301"/>
    <x v="0"/>
    <x v="0"/>
    <s v="MORDHAU"/>
    <m/>
    <n v="2.1"/>
    <n v="70"/>
    <n v="0"/>
    <n v="1"/>
    <n v="600"/>
    <n v="200"/>
    <n v="14"/>
    <n v="1"/>
    <n v="0.4"/>
    <s v="Sunday"/>
    <x v="0"/>
    <n v="20"/>
    <x v="1"/>
    <n v="0"/>
  </r>
  <r>
    <n v="304"/>
    <x v="302"/>
    <x v="0"/>
    <x v="0"/>
    <s v="Apex Legends"/>
    <s v="Overwatch 2"/>
    <n v="7"/>
    <n v="7530"/>
    <n v="1434"/>
    <n v="1"/>
    <n v="6512"/>
    <n v="709000"/>
    <n v="1350000"/>
    <n v="15"/>
    <n v="4.2"/>
    <s v="Tuesday"/>
    <x v="1"/>
    <n v="6532.5552825552822"/>
    <x v="1"/>
    <n v="2.0225669957686884E-3"/>
  </r>
  <r>
    <n v="305"/>
    <x v="303"/>
    <x v="0"/>
    <x v="0"/>
    <s v="Escape from Tarkov"/>
    <s v="PUBG: BATTLEGROUNDS"/>
    <n v="7.2"/>
    <n v="1810"/>
    <n v="3961"/>
    <n v="1.1000000000000001"/>
    <n v="12951"/>
    <n v="341000"/>
    <n v="7460000"/>
    <n v="44"/>
    <n v="5.0999999999999996"/>
    <s v="Monday"/>
    <x v="1"/>
    <n v="1579.8007875839703"/>
    <x v="1"/>
    <n v="1.1615835777126099E-2"/>
  </r>
  <r>
    <n v="306"/>
    <x v="304"/>
    <x v="0"/>
    <x v="0"/>
    <s v="Just Chatting"/>
    <s v="Minecraft"/>
    <n v="8.1999999999999993"/>
    <n v="1928"/>
    <n v="0"/>
    <n v="2.1"/>
    <n v="2630"/>
    <n v="98700"/>
    <n v="0"/>
    <n v="23"/>
    <n v="6.2"/>
    <s v="Wednesday"/>
    <x v="1"/>
    <n v="2251.7110266159693"/>
    <x v="0"/>
    <n v="0"/>
  </r>
  <r>
    <n v="307"/>
    <x v="305"/>
    <x v="2"/>
    <x v="0"/>
    <s v="Just Chatting"/>
    <s v="Grand Theft Auto V"/>
    <n v="4.3"/>
    <n v="1121"/>
    <n v="1050"/>
    <n v="1.7"/>
    <n v="2277"/>
    <n v="560000"/>
    <n v="52500"/>
    <n v="36"/>
    <n v="4.5999999999999996"/>
    <s v="Sunday"/>
    <x v="1"/>
    <n v="14756.258234519102"/>
    <x v="1"/>
    <n v="1.8749999999999999E-3"/>
  </r>
  <r>
    <n v="308"/>
    <x v="306"/>
    <x v="5"/>
    <x v="0"/>
    <s v="Street Fighter 6"/>
    <s v="Apex Legends"/>
    <n v="4.3"/>
    <n v="8190"/>
    <n v="1607"/>
    <n v="1.2"/>
    <n v="2920"/>
    <n v="59700"/>
    <n v="114000"/>
    <n v="10"/>
    <n v="0.4"/>
    <s v="Saturday"/>
    <x v="6"/>
    <n v="1226.7123287671234"/>
    <x v="1"/>
    <n v="2.6917922948073703E-2"/>
  </r>
  <r>
    <n v="309"/>
    <x v="307"/>
    <x v="0"/>
    <x v="0"/>
    <s v="League of Legends"/>
    <s v="Teamfight Tactics"/>
    <n v="8"/>
    <n v="4440"/>
    <n v="68813"/>
    <n v="1.6"/>
    <n v="20876"/>
    <n v="2590000"/>
    <n v="348000000"/>
    <n v="173"/>
    <n v="6.6"/>
    <s v="Tuesday"/>
    <x v="5"/>
    <n v="7443.9547806093124"/>
    <x v="1"/>
    <n v="2.656872586872587E-2"/>
  </r>
  <r>
    <n v="310"/>
    <x v="308"/>
    <x v="4"/>
    <x v="0"/>
    <s v="Just Chatting"/>
    <s v="ROBLOX"/>
    <n v="3"/>
    <n v="4033"/>
    <n v="9035"/>
    <n v="1.9"/>
    <n v="1233"/>
    <n v="1680000"/>
    <n v="3750000"/>
    <n v="92"/>
    <n v="2.7"/>
    <s v="Tuesday"/>
    <x v="6"/>
    <n v="81751.824817518253"/>
    <x v="1"/>
    <n v="5.3779761904761908E-3"/>
  </r>
  <r>
    <n v="311"/>
    <x v="309"/>
    <x v="4"/>
    <x v="0"/>
    <s v="Just Chatting"/>
    <s v="I'm Only Sleeping"/>
    <n v="3.6"/>
    <n v="2037"/>
    <n v="7738"/>
    <n v="1.8"/>
    <n v="2486"/>
    <n v="1380000"/>
    <n v="5220000"/>
    <n v="194"/>
    <n v="2.7"/>
    <s v="Wednesday"/>
    <x v="1"/>
    <n v="33306.516492357201"/>
    <x v="1"/>
    <n v="5.6072463768115938E-3"/>
  </r>
  <r>
    <n v="312"/>
    <x v="310"/>
    <x v="0"/>
    <x v="0"/>
    <s v="Apex Legends"/>
    <s v="DayZ"/>
    <n v="5.0999999999999996"/>
    <n v="8450"/>
    <n v="4956"/>
    <n v="1"/>
    <n v="6981"/>
    <n v="1090000"/>
    <n v="6400000"/>
    <n v="16"/>
    <n v="3.8"/>
    <s v="Tuesday"/>
    <x v="1"/>
    <n v="9368.2853459389771"/>
    <x v="1"/>
    <n v="4.5467889908256884E-3"/>
  </r>
  <r>
    <n v="313"/>
    <x v="311"/>
    <x v="5"/>
    <x v="0"/>
    <s v="VALORANT"/>
    <s v="Apex Legends"/>
    <n v="8.1"/>
    <n v="4230"/>
    <n v="283"/>
    <n v="1.1000000000000001"/>
    <n v="8719"/>
    <n v="465000"/>
    <n v="3110000"/>
    <n v="80"/>
    <n v="5.6"/>
    <s v="Wednesday"/>
    <x v="6"/>
    <n v="3199.9082463585273"/>
    <x v="1"/>
    <n v="6.0860215053763441E-4"/>
  </r>
  <r>
    <n v="314"/>
    <x v="312"/>
    <x v="0"/>
    <x v="0"/>
    <s v="Grand Theft Auto V"/>
    <s v="Rust"/>
    <n v="7.3"/>
    <n v="1210"/>
    <n v="1810"/>
    <n v="1.2"/>
    <n v="644"/>
    <n v="106000"/>
    <n v="159000"/>
    <n v="54"/>
    <n v="3.3"/>
    <s v="Sunday"/>
    <x v="1"/>
    <n v="9875.7763975155285"/>
    <x v="1"/>
    <n v="1.7075471698113208E-2"/>
  </r>
  <r>
    <n v="315"/>
    <x v="313"/>
    <x v="1"/>
    <x v="0"/>
    <s v="VALORANT"/>
    <s v="Counter-Strike"/>
    <n v="3"/>
    <n v="3250"/>
    <n v="509"/>
    <n v="1.1000000000000001"/>
    <n v="3426"/>
    <n v="396000"/>
    <n v="6190000"/>
    <n v="24"/>
    <n v="3.2"/>
    <s v="Wednesday"/>
    <x v="3"/>
    <n v="6935.2014010507883"/>
    <x v="1"/>
    <n v="1.2853535353535353E-3"/>
  </r>
  <r>
    <n v="316"/>
    <x v="314"/>
    <x v="0"/>
    <x v="0"/>
    <s v="Escape from Tarkov"/>
    <s v="Just Chatting"/>
    <n v="8.1999999999999993"/>
    <n v="7420"/>
    <n v="37524"/>
    <n v="1.2"/>
    <n v="15155"/>
    <n v="1370000"/>
    <n v="69500000"/>
    <n v="119"/>
    <n v="5.3"/>
    <s v="Tuesday"/>
    <x v="4"/>
    <n v="5423.9524909270867"/>
    <x v="1"/>
    <n v="2.7389781021897812E-2"/>
  </r>
  <r>
    <n v="317"/>
    <x v="315"/>
    <x v="7"/>
    <x v="0"/>
    <s v="Counter-Strike"/>
    <s v="FIFA 21"/>
    <n v="3.1"/>
    <n v="2159"/>
    <n v="57369"/>
    <n v="1.2"/>
    <n v="185"/>
    <n v="1510000"/>
    <n v="43100000"/>
    <n v="32"/>
    <n v="1.5"/>
    <s v="Tuesday"/>
    <x v="1"/>
    <n v="489729.7297297297"/>
    <x v="1"/>
    <n v="3.7992715231788078E-2"/>
  </r>
  <r>
    <n v="318"/>
    <x v="316"/>
    <x v="0"/>
    <x v="0"/>
    <s v="Among Us"/>
    <s v="Jackbox Party Packs"/>
    <n v="4.8"/>
    <n v="2410"/>
    <n v="8396"/>
    <n v="1.8"/>
    <n v="7117"/>
    <n v="459000"/>
    <n v="11900000"/>
    <n v="334"/>
    <n v="4.4000000000000004"/>
    <s v="Wednesday"/>
    <x v="4"/>
    <n v="3869.6079808908248"/>
    <x v="1"/>
    <n v="1.829193899782135E-2"/>
  </r>
  <r>
    <n v="319"/>
    <x v="317"/>
    <x v="3"/>
    <x v="0"/>
    <s v="Grand Theft Auto V"/>
    <s v="Just Chatting"/>
    <n v="7.1"/>
    <n v="5640"/>
    <n v="7831"/>
    <n v="1.9"/>
    <n v="6844"/>
    <n v="550000"/>
    <n v="7640000"/>
    <n v="65"/>
    <n v="4.3"/>
    <s v="Monday"/>
    <x v="1"/>
    <n v="4821.7416715371128"/>
    <x v="1"/>
    <n v="1.4238181818181818E-2"/>
  </r>
  <r>
    <n v="320"/>
    <x v="318"/>
    <x v="1"/>
    <x v="0"/>
    <s v="Dead by Daylight"/>
    <s v="Lethal Company"/>
    <n v="3.7"/>
    <n v="3990"/>
    <n v="1541"/>
    <n v="1.4"/>
    <n v="2653"/>
    <n v="289000"/>
    <n v="1110000"/>
    <n v="52"/>
    <n v="2.4"/>
    <s v="Tuesday"/>
    <x v="4"/>
    <n v="6535.9969845457972"/>
    <x v="1"/>
    <n v="5.3321799307958478E-3"/>
  </r>
  <r>
    <n v="321"/>
    <x v="319"/>
    <x v="4"/>
    <x v="0"/>
    <s v="Dota 2"/>
    <s v="World of Warcraft"/>
    <n v="7.4"/>
    <n v="4870"/>
    <n v="38575"/>
    <n v="1.4"/>
    <n v="10052"/>
    <n v="732000"/>
    <n v="55500000"/>
    <n v="198"/>
    <n v="3.5"/>
    <s v="Tuesday"/>
    <x v="2"/>
    <n v="4369.2797453243138"/>
    <x v="1"/>
    <n v="5.2698087431693991E-2"/>
  </r>
  <r>
    <n v="322"/>
    <x v="320"/>
    <x v="0"/>
    <x v="0"/>
    <s v="Minecraft"/>
    <s v="Just Chatting"/>
    <n v="4.7"/>
    <n v="381"/>
    <n v="47258"/>
    <n v="1.5"/>
    <n v="6727"/>
    <n v="5280000"/>
    <n v="65500000"/>
    <n v="129"/>
    <n v="4.5999999999999996"/>
    <s v="Saturday"/>
    <x v="5"/>
    <n v="47093.801100044599"/>
    <x v="1"/>
    <n v="8.9503787878787884E-3"/>
  </r>
  <r>
    <n v="323"/>
    <x v="321"/>
    <x v="3"/>
    <x v="0"/>
    <s v="EA Sports FC 24"/>
    <s v="FIFA 20"/>
    <n v="2.6"/>
    <n v="270"/>
    <n v="6393"/>
    <n v="1"/>
    <n v="4130"/>
    <n v="4300"/>
    <n v="998000"/>
    <n v="15"/>
    <n v="0.7"/>
    <s v="Thursday"/>
    <x v="2"/>
    <n v="62.469733656174341"/>
    <x v="1"/>
    <n v="1.4867441860465116"/>
  </r>
  <r>
    <n v="324"/>
    <x v="322"/>
    <x v="0"/>
    <x v="0"/>
    <s v="Apex Legends"/>
    <s v="Just Chatting"/>
    <n v="7"/>
    <n v="3420"/>
    <n v="4862"/>
    <n v="1.7"/>
    <n v="12177"/>
    <n v="624000"/>
    <n v="8860000"/>
    <n v="194"/>
    <n v="4.5"/>
    <s v="Wednesday"/>
    <x v="1"/>
    <n v="3074.6489283074652"/>
    <x v="1"/>
    <n v="7.7916666666666664E-3"/>
  </r>
  <r>
    <n v="325"/>
    <x v="323"/>
    <x v="2"/>
    <x v="0"/>
    <s v="League of Legends"/>
    <s v="Fortnite"/>
    <n v="6.3"/>
    <n v="4550"/>
    <n v="14985"/>
    <n v="1.8"/>
    <n v="11161"/>
    <n v="859000"/>
    <n v="27300000"/>
    <n v="236"/>
    <n v="4.5999999999999996"/>
    <s v="Sunday"/>
    <x v="0"/>
    <n v="4617.865782635964"/>
    <x v="1"/>
    <n v="1.7444703143189754E-2"/>
  </r>
  <r>
    <n v="326"/>
    <x v="324"/>
    <x v="1"/>
    <x v="1"/>
    <s v="League of Legends"/>
    <s v="Teamfight Tactics"/>
    <n v="5.5"/>
    <n v="7640"/>
    <n v="39372"/>
    <n v="1"/>
    <n v="4661"/>
    <n v="679000"/>
    <n v="35000000"/>
    <n v="6"/>
    <n v="2.2999999999999998"/>
    <s v="Saturday"/>
    <x v="0"/>
    <n v="8740.6136022312803"/>
    <x v="1"/>
    <n v="5.7985272459499262E-2"/>
  </r>
  <r>
    <n v="327"/>
    <x v="325"/>
    <x v="2"/>
    <x v="0"/>
    <s v="VALORANT"/>
    <s v="Fortnite"/>
    <n v="2.2000000000000002"/>
    <n v="7300"/>
    <n v="0"/>
    <n v="1.2"/>
    <n v="790"/>
    <n v="29200"/>
    <n v="0"/>
    <n v="2"/>
    <n v="1"/>
    <s v="Saturday"/>
    <x v="5"/>
    <n v="2217.7215189873418"/>
    <x v="1"/>
    <n v="0"/>
  </r>
  <r>
    <n v="328"/>
    <x v="326"/>
    <x v="4"/>
    <x v="0"/>
    <s v="Just Chatting"/>
    <s v="Minecraft"/>
    <n v="2.4"/>
    <n v="4427"/>
    <n v="0"/>
    <n v="1.1000000000000001"/>
    <n v="5290"/>
    <n v="987000"/>
    <n v="8"/>
    <n v="16"/>
    <n v="3.9"/>
    <s v="Sunday"/>
    <x v="5"/>
    <n v="11194.706994328923"/>
    <x v="1"/>
    <n v="0"/>
  </r>
  <r>
    <n v="329"/>
    <x v="327"/>
    <x v="5"/>
    <x v="0"/>
    <s v="VALORANT"/>
    <s v="Escape from Tarkov"/>
    <n v="4.7"/>
    <n v="1005"/>
    <n v="4590"/>
    <n v="1.1000000000000001"/>
    <n v="1976"/>
    <n v="435000"/>
    <n v="199000"/>
    <n v="56"/>
    <n v="1.3"/>
    <s v="Saturday"/>
    <x v="1"/>
    <n v="13208.5020242915"/>
    <x v="1"/>
    <n v="1.0551724137931035E-2"/>
  </r>
  <r>
    <n v="330"/>
    <x v="328"/>
    <x v="5"/>
    <x v="0"/>
    <s v="VALORANT"/>
    <s v="League of Legends"/>
    <n v="7.5"/>
    <n v="2400"/>
    <n v="1153"/>
    <n v="1.3"/>
    <n v="6594"/>
    <n v="261000"/>
    <n v="1250000"/>
    <n v="80"/>
    <n v="5.7"/>
    <s v="Thursday"/>
    <x v="1"/>
    <n v="2374.8862602365784"/>
    <x v="1"/>
    <n v="4.4176245210727971E-3"/>
  </r>
  <r>
    <n v="331"/>
    <x v="329"/>
    <x v="0"/>
    <x v="0"/>
    <s v="ELDEN RING"/>
    <s v="Just Chatting"/>
    <n v="6.2"/>
    <n v="2500"/>
    <n v="1113"/>
    <n v="1.3"/>
    <n v="8169"/>
    <n v="334000"/>
    <n v="1570000"/>
    <n v="294"/>
    <n v="3.4"/>
    <s v="Thursday"/>
    <x v="1"/>
    <n v="2453.1766434080059"/>
    <x v="1"/>
    <n v="3.3323353293413173E-3"/>
  </r>
  <r>
    <n v="332"/>
    <x v="330"/>
    <x v="4"/>
    <x v="0"/>
    <s v="PUBG: BATTLEGROUNDS"/>
    <s v="Just Chatting"/>
    <n v="3.8"/>
    <n v="3360"/>
    <n v="12726"/>
    <n v="2"/>
    <n v="5836"/>
    <n v="486000"/>
    <n v="18400000"/>
    <n v="42"/>
    <n v="4.9000000000000004"/>
    <s v="Friday"/>
    <x v="0"/>
    <n v="4996.5729952021929"/>
    <x v="1"/>
    <n v="2.6185185185185186E-2"/>
  </r>
  <r>
    <n v="333"/>
    <x v="331"/>
    <x v="9"/>
    <x v="0"/>
    <s v="Grand Theft Auto V"/>
    <s v="Minecraft"/>
    <n v="5.7"/>
    <n v="2140"/>
    <n v="6713"/>
    <n v="1.4"/>
    <n v="5081"/>
    <n v="188000"/>
    <n v="5900000"/>
    <n v="38"/>
    <n v="4.2"/>
    <s v="Tuesday"/>
    <x v="1"/>
    <n v="2220.0354260972249"/>
    <x v="1"/>
    <n v="3.5707446808510637E-2"/>
  </r>
  <r>
    <n v="334"/>
    <x v="332"/>
    <x v="7"/>
    <x v="0"/>
    <s v="League of Legends"/>
    <s v="Virtual Casino"/>
    <n v="6.5"/>
    <n v="4950"/>
    <n v="8030"/>
    <n v="1.3"/>
    <n v="4212"/>
    <n v="365000"/>
    <n v="2570000"/>
    <n v="15"/>
    <n v="1.9"/>
    <s v="Thursday"/>
    <x v="1"/>
    <n v="5199.4301994301995"/>
    <x v="1"/>
    <n v="2.1999999999999999E-2"/>
  </r>
  <r>
    <n v="335"/>
    <x v="333"/>
    <x v="7"/>
    <x v="0"/>
    <s v="Just Chatting"/>
    <s v="Variety"/>
    <n v="5.2"/>
    <n v="5950"/>
    <n v="0"/>
    <n v="1.5"/>
    <n v="2680"/>
    <n v="28600"/>
    <n v="0"/>
    <n v="21"/>
    <n v="0.7"/>
    <s v="Monday"/>
    <x v="2"/>
    <n v="640.29850746268664"/>
    <x v="1"/>
    <n v="0"/>
  </r>
  <r>
    <n v="336"/>
    <x v="334"/>
    <x v="1"/>
    <x v="0"/>
    <s v="League of Legends"/>
    <s v="Fortnite"/>
    <n v="3.5"/>
    <n v="4490"/>
    <n v="6854"/>
    <n v="1.1000000000000001"/>
    <n v="6807"/>
    <n v="789000"/>
    <n v="12000000"/>
    <n v="64"/>
    <n v="5.5"/>
    <s v="Sunday"/>
    <x v="6"/>
    <n v="6954.6055531070951"/>
    <x v="1"/>
    <n v="8.686945500633713E-3"/>
  </r>
  <r>
    <n v="337"/>
    <x v="335"/>
    <x v="6"/>
    <x v="0"/>
    <s v="Just Chatting"/>
    <s v="IRL"/>
    <n v="16.100000000000001"/>
    <n v="800"/>
    <n v="2942"/>
    <n v="1.5"/>
    <n v="44732"/>
    <n v="175000"/>
    <n v="73300000"/>
    <n v="277"/>
    <n v="6.9"/>
    <s v="Monday"/>
    <x v="0"/>
    <n v="234.73128856299741"/>
    <x v="1"/>
    <n v="1.6811428571428571E-2"/>
  </r>
  <r>
    <n v="338"/>
    <x v="336"/>
    <x v="1"/>
    <x v="0"/>
    <s v="Grand Theft Auto V"/>
    <s v="Minecraft"/>
    <n v="4"/>
    <n v="2116"/>
    <n v="35555"/>
    <n v="1.3"/>
    <n v="4691"/>
    <n v="2490000"/>
    <n v="41800000"/>
    <n v="74"/>
    <n v="4.4000000000000004"/>
    <s v="Wednesday"/>
    <x v="1"/>
    <n v="31848.219995736516"/>
    <x v="1"/>
    <n v="1.4279116465863453E-2"/>
  </r>
  <r>
    <n v="339"/>
    <x v="337"/>
    <x v="0"/>
    <x v="0"/>
    <s v="World of Warcraft"/>
    <s v="Variety"/>
    <n v="9.1999999999999993"/>
    <n v="2260"/>
    <n v="15728"/>
    <n v="1.1000000000000001"/>
    <n v="12889"/>
    <n v="314000"/>
    <n v="21800000"/>
    <n v="34"/>
    <n v="4.2"/>
    <s v="Monday"/>
    <x v="3"/>
    <n v="1461.7115369695089"/>
    <x v="1"/>
    <n v="5.0089171974522291E-2"/>
  </r>
  <r>
    <n v="340"/>
    <x v="338"/>
    <x v="1"/>
    <x v="1"/>
    <s v="FIFA 21"/>
    <s v="FIFA 22"/>
    <n v="3.9"/>
    <n v="7330"/>
    <n v="89003"/>
    <n v="1"/>
    <n v="6710"/>
    <n v="122000"/>
    <n v="14800000"/>
    <n v="5"/>
    <n v="0.8"/>
    <s v="Tuesday"/>
    <x v="1"/>
    <n v="1090.909090909091"/>
    <x v="1"/>
    <n v="0.72953278688524592"/>
  </r>
  <r>
    <n v="341"/>
    <x v="339"/>
    <x v="1"/>
    <x v="0"/>
    <s v="Just Chatting"/>
    <s v="Minecraft"/>
    <n v="3"/>
    <n v="2911"/>
    <n v="7387"/>
    <n v="2"/>
    <n v="3798"/>
    <n v="3260000"/>
    <n v="8279999"/>
    <n v="268"/>
    <n v="3.7"/>
    <s v="Wednesday"/>
    <x v="3"/>
    <n v="51500.789889415486"/>
    <x v="1"/>
    <n v="2.2659509202453986E-3"/>
  </r>
  <r>
    <n v="342"/>
    <x v="340"/>
    <x v="7"/>
    <x v="0"/>
    <s v="Grand Theft Auto V"/>
    <s v="Variety"/>
    <n v="2"/>
    <n v="6727"/>
    <n v="0"/>
    <n v="1.5"/>
    <n v="100"/>
    <n v="30300"/>
    <n v="0"/>
    <n v="3"/>
    <n v="4.4000000000000004"/>
    <s v="Monday"/>
    <x v="0"/>
    <n v="18180"/>
    <x v="1"/>
    <n v="0"/>
  </r>
  <r>
    <n v="343"/>
    <x v="341"/>
    <x v="0"/>
    <x v="0"/>
    <s v="League of Legends"/>
    <s v="Just Chatting"/>
    <n v="8.5"/>
    <n v="6060"/>
    <n v="1823"/>
    <n v="1.1000000000000001"/>
    <n v="12738"/>
    <n v="966000"/>
    <n v="2910000"/>
    <n v="73"/>
    <n v="6.2"/>
    <s v="Thursday"/>
    <x v="2"/>
    <n v="4550.1648610456896"/>
    <x v="1"/>
    <n v="1.8871635610766045E-3"/>
  </r>
  <r>
    <n v="344"/>
    <x v="342"/>
    <x v="0"/>
    <x v="0"/>
    <s v="Just Chatting"/>
    <s v="Grand Theft Auto V"/>
    <n v="4.8"/>
    <n v="3710"/>
    <n v="6586"/>
    <n v="1.7"/>
    <n v="6199"/>
    <n v="495000"/>
    <n v="8790000"/>
    <n v="290"/>
    <n v="4.3"/>
    <s v="Thursday"/>
    <x v="2"/>
    <n v="4791.095337957735"/>
    <x v="1"/>
    <n v="1.3305050505050505E-2"/>
  </r>
  <r>
    <n v="345"/>
    <x v="343"/>
    <x v="4"/>
    <x v="0"/>
    <s v="Heroes of Might and Magic III: The Restoration of Erathia"/>
    <s v="Heroes of Might and Magic III: The Shadow of Death"/>
    <n v="7"/>
    <n v="1960"/>
    <n v="20779"/>
    <n v="1.5"/>
    <n v="14745"/>
    <n v="385000"/>
    <n v="41300000"/>
    <n v="157"/>
    <n v="6.4"/>
    <s v="Tuesday"/>
    <x v="3"/>
    <n v="1566.6327568667346"/>
    <x v="1"/>
    <n v="5.3971428571428573E-2"/>
  </r>
  <r>
    <n v="346"/>
    <x v="344"/>
    <x v="3"/>
    <x v="0"/>
    <s v="Variety"/>
    <s v="Minecraft"/>
    <n v="23.8"/>
    <n v="5980"/>
    <n v="24018"/>
    <n v="9.3000000000000007"/>
    <n v="3435"/>
    <n v="568000"/>
    <n v="21400000"/>
    <n v="355"/>
    <n v="4.2"/>
    <s v="Saturday"/>
    <x v="0"/>
    <n v="9921.3973799126634"/>
    <x v="0"/>
    <n v="4.2285211267605635E-2"/>
  </r>
  <r>
    <n v="347"/>
    <x v="345"/>
    <x v="0"/>
    <x v="0"/>
    <s v="League of Legends"/>
    <s v="I'm Only Sleeping"/>
    <n v="5.7"/>
    <n v="5530"/>
    <n v="8635"/>
    <n v="1.1000000000000001"/>
    <n v="6245"/>
    <n v="580000"/>
    <n v="9060000"/>
    <n v="30"/>
    <n v="3.1"/>
    <s v="Thursday"/>
    <x v="1"/>
    <n v="5572.4579663730983"/>
    <x v="1"/>
    <n v="1.4887931034482759E-2"/>
  </r>
  <r>
    <n v="348"/>
    <x v="346"/>
    <x v="8"/>
    <x v="0"/>
    <s v="Just Chatting"/>
    <s v="FIFA 21"/>
    <n v="4.2"/>
    <n v="3210"/>
    <n v="6030"/>
    <n v="2.7"/>
    <n v="4756"/>
    <n v="355000"/>
    <n v="665000"/>
    <n v="410"/>
    <n v="4.2"/>
    <s v="Tuesday"/>
    <x v="1"/>
    <n v="4478.5534062237175"/>
    <x v="0"/>
    <n v="1.6985915492957745E-2"/>
  </r>
  <r>
    <n v="349"/>
    <x v="347"/>
    <x v="0"/>
    <x v="0"/>
    <s v="VALORANT"/>
    <s v="Call of Duty: Warzone"/>
    <n v="5.5"/>
    <n v="1427"/>
    <n v="26147"/>
    <n v="1.2"/>
    <n v="5773"/>
    <n v="2049999"/>
    <n v="62400000"/>
    <n v="52"/>
    <n v="2.7"/>
    <s v="Wednesday"/>
    <x v="6"/>
    <n v="21306.069634505457"/>
    <x v="1"/>
    <n v="1.2754640368117253E-2"/>
  </r>
  <r>
    <n v="350"/>
    <x v="348"/>
    <x v="4"/>
    <x v="0"/>
    <s v="Dota 2"/>
    <s v="Just Chatting"/>
    <n v="4.3"/>
    <n v="1213"/>
    <n v="630"/>
    <n v="2.2000000000000002"/>
    <n v="1635"/>
    <n v="466000"/>
    <n v="24800"/>
    <n v="89"/>
    <n v="1.7"/>
    <s v="Saturday"/>
    <x v="2"/>
    <n v="17100.917431192662"/>
    <x v="0"/>
    <n v="1.351931330472103E-3"/>
  </r>
  <r>
    <n v="351"/>
    <x v="349"/>
    <x v="7"/>
    <x v="0"/>
    <s v="Grand Theft Auto V"/>
    <s v="Just Chatting"/>
    <n v="2.9"/>
    <n v="6090"/>
    <n v="1557"/>
    <n v="1.7"/>
    <n v="1835"/>
    <n v="345000"/>
    <n v="881000"/>
    <n v="30"/>
    <n v="1.7"/>
    <s v="Monday"/>
    <x v="2"/>
    <n v="11280.65395095368"/>
    <x v="1"/>
    <n v="4.5130434782608697E-3"/>
  </r>
  <r>
    <n v="352"/>
    <x v="350"/>
    <x v="5"/>
    <x v="0"/>
    <s v="League of Legends"/>
    <s v="Escape from Tarkov"/>
    <n v="7.5"/>
    <n v="850"/>
    <n v="6458"/>
    <n v="1.3"/>
    <n v="15069"/>
    <n v="177000"/>
    <n v="13400000"/>
    <n v="174"/>
    <n v="5.0999999999999996"/>
    <s v="Wednesday"/>
    <x v="2"/>
    <n v="704.75811268166433"/>
    <x v="1"/>
    <n v="3.6485875706214692E-2"/>
  </r>
  <r>
    <n v="353"/>
    <x v="351"/>
    <x v="0"/>
    <x v="0"/>
    <s v="League of Legends"/>
    <s v="Call of Dragons"/>
    <n v="5.7"/>
    <n v="5530"/>
    <n v="10187"/>
    <n v="1"/>
    <n v="5336"/>
    <n v="524000"/>
    <n v="9650000"/>
    <n v="19"/>
    <n v="2.5"/>
    <s v="Tuesday"/>
    <x v="1"/>
    <n v="5892.0539730134933"/>
    <x v="1"/>
    <n v="1.944083969465649E-2"/>
  </r>
  <r>
    <n v="354"/>
    <x v="352"/>
    <x v="7"/>
    <x v="0"/>
    <s v="VALORANT"/>
    <s v="League of Legends"/>
    <n v="5.7"/>
    <n v="6440"/>
    <n v="16366"/>
    <n v="1.2"/>
    <n v="553"/>
    <n v="682000"/>
    <n v="17300000"/>
    <n v="48"/>
    <n v="2.9"/>
    <s v="Wednesday"/>
    <x v="1"/>
    <n v="73996.383363471963"/>
    <x v="1"/>
    <n v="2.399706744868035E-2"/>
  </r>
  <r>
    <n v="355"/>
    <x v="353"/>
    <x v="2"/>
    <x v="0"/>
    <s v="Just Chatting"/>
    <s v="Outlast"/>
    <n v="2.2999999999999998"/>
    <n v="3445"/>
    <n v="40"/>
    <n v="1"/>
    <n v="2310"/>
    <n v="345000"/>
    <n v="350"/>
    <n v="2"/>
    <n v="0.7"/>
    <s v="Sunday"/>
    <x v="1"/>
    <n v="8961.0389610389611"/>
    <x v="1"/>
    <n v="1.1594202898550724E-4"/>
  </r>
  <r>
    <n v="356"/>
    <x v="354"/>
    <x v="5"/>
    <x v="0"/>
    <s v="Street Fighter 6"/>
    <s v="Grand Theft Auto V"/>
    <n v="5.4"/>
    <n v="8620"/>
    <n v="0"/>
    <n v="1.1000000000000001"/>
    <n v="1004"/>
    <n v="178000"/>
    <n v="272"/>
    <n v="20"/>
    <n v="1.9"/>
    <s v="Thursday"/>
    <x v="1"/>
    <n v="10637.450199203187"/>
    <x v="1"/>
    <n v="0"/>
  </r>
  <r>
    <n v="357"/>
    <x v="355"/>
    <x v="0"/>
    <x v="0"/>
    <s v="Just Chatting"/>
    <s v="Super Smash Bros. Ultimate"/>
    <n v="5.2"/>
    <n v="2455"/>
    <n v="26988"/>
    <n v="1.5"/>
    <n v="9722"/>
    <n v="5400000"/>
    <n v="59300000"/>
    <n v="460"/>
    <n v="6.2"/>
    <s v="Thursday"/>
    <x v="3"/>
    <n v="33326.476033737912"/>
    <x v="1"/>
    <n v="4.9977777777777781E-3"/>
  </r>
  <r>
    <n v="358"/>
    <x v="356"/>
    <x v="7"/>
    <x v="0"/>
    <s v="Virtual Casino"/>
    <s v="Fortnite"/>
    <n v="21.6"/>
    <n v="920"/>
    <n v="250"/>
    <n v="1"/>
    <n v="5714"/>
    <n v="16100"/>
    <n v="7900"/>
    <n v="3"/>
    <n v="0.8"/>
    <s v="Tuesday"/>
    <x v="3"/>
    <n v="169.05845292264613"/>
    <x v="1"/>
    <n v="1.5527950310559006E-2"/>
  </r>
  <r>
    <n v="359"/>
    <x v="357"/>
    <x v="0"/>
    <x v="0"/>
    <s v="Teamfight Tactics"/>
    <s v="League of Legends"/>
    <n v="6.8"/>
    <n v="5640"/>
    <n v="29058"/>
    <n v="1.9"/>
    <n v="15166"/>
    <n v="2120000"/>
    <n v="125000000"/>
    <n v="166"/>
    <n v="5.7"/>
    <s v="Friday"/>
    <x v="6"/>
    <n v="8387.1818541474349"/>
    <x v="1"/>
    <n v="1.3706603773584906E-2"/>
  </r>
  <r>
    <n v="360"/>
    <x v="358"/>
    <x v="1"/>
    <x v="0"/>
    <s v="Just Chatting"/>
    <s v="Fortnite"/>
    <n v="2.9"/>
    <n v="6457"/>
    <n v="1518"/>
    <n v="2"/>
    <n v="2712"/>
    <n v="4570000"/>
    <n v="10700000"/>
    <n v="203"/>
    <n v="3.1"/>
    <s v="Tuesday"/>
    <x v="1"/>
    <n v="101106.19469026547"/>
    <x v="1"/>
    <n v="3.3216630196936542E-4"/>
  </r>
  <r>
    <n v="361"/>
    <x v="359"/>
    <x v="5"/>
    <x v="0"/>
    <s v="Street Fighter V"/>
    <s v="Street Fighter 6"/>
    <n v="11.8"/>
    <n v="3625"/>
    <n v="27446"/>
    <n v="3.1"/>
    <n v="830"/>
    <n v="27200"/>
    <n v="211000"/>
    <n v="14"/>
    <n v="0"/>
    <s v="Saturday"/>
    <x v="0"/>
    <n v="1966.2650602409637"/>
    <x v="0"/>
    <n v="1.0090441176470588"/>
  </r>
  <r>
    <n v="362"/>
    <x v="360"/>
    <x v="0"/>
    <x v="0"/>
    <s v="Art"/>
    <s v="Just Chatting"/>
    <n v="7.1"/>
    <n v="7450"/>
    <n v="20125"/>
    <n v="2.1"/>
    <n v="11517"/>
    <n v="1200000"/>
    <n v="32500000"/>
    <n v="692"/>
    <n v="4.5"/>
    <s v="Wednesday"/>
    <x v="1"/>
    <n v="6251.6280281323261"/>
    <x v="0"/>
    <n v="1.6770833333333332E-2"/>
  </r>
  <r>
    <n v="363"/>
    <x v="361"/>
    <x v="0"/>
    <x v="0"/>
    <s v="Just Chatting"/>
    <s v="IRL"/>
    <n v="7.8"/>
    <n v="1830"/>
    <n v="7907"/>
    <n v="1"/>
    <n v="13565"/>
    <n v="323000"/>
    <n v="13900000"/>
    <n v="31"/>
    <n v="4.9000000000000004"/>
    <s v="Saturday"/>
    <x v="1"/>
    <n v="1428.6767416144489"/>
    <x v="1"/>
    <n v="2.4479876160990711E-2"/>
  </r>
  <r>
    <n v="364"/>
    <x v="362"/>
    <x v="0"/>
    <x v="0"/>
    <s v="Overwatch"/>
    <s v="Overwatch 2"/>
    <n v="8.1999999999999993"/>
    <n v="3830"/>
    <n v="16892"/>
    <n v="1.1000000000000001"/>
    <n v="19907"/>
    <n v="983000"/>
    <n v="42400000"/>
    <n v="60"/>
    <n v="6.2"/>
    <s v="Wednesday"/>
    <x v="6"/>
    <n v="2962.7769126437934"/>
    <x v="1"/>
    <n v="1.718413021363174E-2"/>
  </r>
  <r>
    <n v="365"/>
    <x v="363"/>
    <x v="5"/>
    <x v="0"/>
    <s v="Variety"/>
    <s v="Guilty Gear Xrd: Rev 2"/>
    <n v="9.8000000000000007"/>
    <n v="2837"/>
    <n v="61458"/>
    <n v="3.2"/>
    <n v="1760"/>
    <n v="49000"/>
    <n v="1110000"/>
    <n v="24"/>
    <n v="0"/>
    <s v="Saturday"/>
    <x v="1"/>
    <n v="1670.4545454545455"/>
    <x v="0"/>
    <n v="1.2542448979591836"/>
  </r>
  <r>
    <n v="366"/>
    <x v="364"/>
    <x v="5"/>
    <x v="0"/>
    <s v="Just Chatting"/>
    <s v="Apex Legends"/>
    <n v="2.5"/>
    <n v="229"/>
    <n v="830"/>
    <n v="1.3"/>
    <n v="2530"/>
    <n v="241000"/>
    <n v="13000"/>
    <n v="17"/>
    <n v="0.7"/>
    <s v="Friday"/>
    <x v="1"/>
    <n v="5715.415019762846"/>
    <x v="1"/>
    <n v="3.4439834024896266E-3"/>
  </r>
  <r>
    <n v="367"/>
    <x v="365"/>
    <x v="5"/>
    <x v="0"/>
    <s v="VALORANT"/>
    <s v="Apex Legends"/>
    <n v="7"/>
    <n v="1312"/>
    <n v="5616"/>
    <n v="1.4"/>
    <n v="6820"/>
    <n v="135000"/>
    <n v="579000"/>
    <n v="23"/>
    <n v="0.6"/>
    <s v="Sunday"/>
    <x v="4"/>
    <n v="1187.6832844574781"/>
    <x v="1"/>
    <n v="4.1599999999999998E-2"/>
  </r>
  <r>
    <n v="368"/>
    <x v="366"/>
    <x v="9"/>
    <x v="0"/>
    <s v="League of Legends"/>
    <s v="Just Chatting"/>
    <n v="4.7"/>
    <n v="6960"/>
    <n v="16114"/>
    <n v="1.7"/>
    <n v="335"/>
    <n v="385000"/>
    <n v="8910000"/>
    <n v="105"/>
    <n v="3.5"/>
    <s v="Friday"/>
    <x v="2"/>
    <n v="68955.223880597012"/>
    <x v="1"/>
    <n v="4.1854545454545457E-2"/>
  </r>
  <r>
    <n v="369"/>
    <x v="367"/>
    <x v="5"/>
    <x v="0"/>
    <s v="Street Fighter 6"/>
    <s v="VALORANT"/>
    <n v="6.3"/>
    <n v="1270"/>
    <n v="0"/>
    <n v="1.3"/>
    <n v="2423"/>
    <n v="60600"/>
    <n v="0"/>
    <n v="58"/>
    <n v="3.9"/>
    <s v="Tuesday"/>
    <x v="1"/>
    <n v="1500.619067271977"/>
    <x v="1"/>
    <n v="0"/>
  </r>
  <r>
    <n v="370"/>
    <x v="368"/>
    <x v="1"/>
    <x v="0"/>
    <s v="Just Chatting"/>
    <s v="Minecraft"/>
    <n v="4"/>
    <n v="9770"/>
    <n v="5474"/>
    <n v="2.6"/>
    <n v="4013"/>
    <n v="962000"/>
    <n v="5390000"/>
    <n v="358"/>
    <n v="2.9"/>
    <s v="Friday"/>
    <x v="0"/>
    <n v="14383.254423124843"/>
    <x v="0"/>
    <n v="5.6902286902286905E-3"/>
  </r>
  <r>
    <n v="371"/>
    <x v="369"/>
    <x v="0"/>
    <x v="0"/>
    <s v="Just Chatting"/>
    <s v="IRL"/>
    <n v="9.5"/>
    <n v="2123"/>
    <n v="112858"/>
    <n v="2"/>
    <n v="32024"/>
    <n v="6290000"/>
    <n v="401000000"/>
    <n v="153"/>
    <n v="6.4"/>
    <s v="Monday"/>
    <x v="4"/>
    <n v="11784.911316512615"/>
    <x v="1"/>
    <n v="1.7942448330683626E-2"/>
  </r>
  <r>
    <n v="372"/>
    <x v="370"/>
    <x v="0"/>
    <x v="0"/>
    <s v="Music"/>
    <s v="Variety"/>
    <n v="2.2000000000000002"/>
    <n v="116"/>
    <n v="32718"/>
    <n v="1"/>
    <n v="8370"/>
    <n v="410000"/>
    <n v="11200000"/>
    <n v="3"/>
    <n v="1.8"/>
    <s v="Saturday"/>
    <x v="2"/>
    <n v="2939.0681003584227"/>
    <x v="1"/>
    <n v="7.9799999999999996E-2"/>
  </r>
  <r>
    <n v="373"/>
    <x v="371"/>
    <x v="0"/>
    <x v="0"/>
    <s v="Call of Duty: Modern Warfare II"/>
    <s v="Call of Duty: Black Ops Cold War"/>
    <n v="6.1"/>
    <n v="2040"/>
    <n v="4716"/>
    <n v="1.7"/>
    <n v="10448"/>
    <n v="377000"/>
    <n v="7900000"/>
    <n v="106"/>
    <n v="4.4000000000000004"/>
    <s v="Thursday"/>
    <x v="5"/>
    <n v="2165.0076569678408"/>
    <x v="1"/>
    <n v="1.2509283819628647E-2"/>
  </r>
  <r>
    <n v="374"/>
    <x v="372"/>
    <x v="1"/>
    <x v="0"/>
    <s v="Just Chatting"/>
    <s v="Minecraft"/>
    <n v="5.0999999999999996"/>
    <n v="186"/>
    <n v="4814"/>
    <n v="2.6"/>
    <n v="5394"/>
    <n v="1870000"/>
    <n v="4830000"/>
    <n v="307"/>
    <n v="3.6"/>
    <s v="Thursday"/>
    <x v="3"/>
    <n v="20800.889877641825"/>
    <x v="0"/>
    <n v="2.5743315508021392E-3"/>
  </r>
  <r>
    <n v="375"/>
    <x v="373"/>
    <x v="5"/>
    <x v="0"/>
    <s v="Street Fighter 6"/>
    <s v="Apex Legends"/>
    <n v="5.2"/>
    <n v="1700"/>
    <n v="1708"/>
    <n v="1.2"/>
    <n v="324"/>
    <n v="134000"/>
    <n v="1290000"/>
    <n v="99"/>
    <n v="3.8"/>
    <s v="Thursday"/>
    <x v="1"/>
    <n v="24814.814814814814"/>
    <x v="1"/>
    <n v="1.2746268656716417E-2"/>
  </r>
  <r>
    <n v="376"/>
    <x v="374"/>
    <x v="0"/>
    <x v="0"/>
    <s v="VALORANT"/>
    <s v="THE FINALS"/>
    <n v="4.2"/>
    <n v="1079"/>
    <n v="1122"/>
    <n v="1.1000000000000001"/>
    <n v="2163"/>
    <n v="601000"/>
    <n v="625000"/>
    <n v="27"/>
    <n v="2.6"/>
    <s v="Sunday"/>
    <x v="4"/>
    <n v="16671.28987517337"/>
    <x v="1"/>
    <n v="1.8668885191347755E-3"/>
  </r>
  <r>
    <n v="377"/>
    <x v="375"/>
    <x v="5"/>
    <x v="0"/>
    <s v="Super Mario 64"/>
    <s v="Super Smash Bros. Ultimate"/>
    <n v="5.2"/>
    <n v="1330"/>
    <n v="1621"/>
    <n v="1.4"/>
    <n v="2677"/>
    <n v="75800"/>
    <n v="912000"/>
    <n v="102"/>
    <n v="2.5"/>
    <s v="Saturday"/>
    <x v="4"/>
    <n v="1698.9166977960404"/>
    <x v="1"/>
    <n v="2.1385224274406332E-2"/>
  </r>
  <r>
    <n v="378"/>
    <x v="376"/>
    <x v="3"/>
    <x v="0"/>
    <s v="Fortnite"/>
    <s v="Just Chatting"/>
    <n v="3.5"/>
    <n v="1017"/>
    <n v="7044"/>
    <n v="1.1000000000000001"/>
    <n v="3003"/>
    <n v="947000"/>
    <n v="6570000"/>
    <n v="29"/>
    <n v="3.1"/>
    <s v="Friday"/>
    <x v="1"/>
    <n v="18921.078921078923"/>
    <x v="1"/>
    <n v="7.4382259767687437E-3"/>
  </r>
  <r>
    <n v="379"/>
    <x v="377"/>
    <x v="0"/>
    <x v="1"/>
    <s v="Call of Duty: Warzone"/>
    <s v="Super Smash Bros. Ultimate"/>
    <n v="3"/>
    <n v="3890"/>
    <n v="165122"/>
    <n v="1.1000000000000001"/>
    <n v="7270"/>
    <n v="87200"/>
    <n v="35400000"/>
    <n v="29"/>
    <n v="1.1000000000000001"/>
    <s v="Wednesday"/>
    <x v="1"/>
    <n v="719.66987620357634"/>
    <x v="1"/>
    <n v="1.8936009174311927"/>
  </r>
  <r>
    <n v="380"/>
    <x v="378"/>
    <x v="0"/>
    <x v="0"/>
    <s v="Grand Theft Auto V"/>
    <s v="Arma 3"/>
    <n v="10.1"/>
    <n v="2270"/>
    <n v="14497"/>
    <n v="1.6"/>
    <n v="19605"/>
    <n v="467000"/>
    <n v="28300000"/>
    <n v="529"/>
    <n v="5"/>
    <s v="Tuesday"/>
    <x v="1"/>
    <n v="1429.2272379495028"/>
    <x v="1"/>
    <n v="3.1042826552462526E-2"/>
  </r>
  <r>
    <n v="381"/>
    <x v="379"/>
    <x v="0"/>
    <x v="0"/>
    <s v="Hearthstone"/>
    <s v="Fall Guys"/>
    <n v="7"/>
    <n v="1260"/>
    <n v="14166"/>
    <n v="1.1000000000000001"/>
    <n v="1521"/>
    <n v="330000"/>
    <n v="33500000"/>
    <n v="56"/>
    <n v="5.5"/>
    <s v="Tuesday"/>
    <x v="1"/>
    <n v="13017.75147928994"/>
    <x v="1"/>
    <n v="4.2927272727272731E-2"/>
  </r>
  <r>
    <n v="382"/>
    <x v="380"/>
    <x v="0"/>
    <x v="0"/>
    <s v="Dota 2"/>
    <s v="DARK SOULS III"/>
    <n v="5.4"/>
    <n v="1460"/>
    <n v="10772"/>
    <n v="1.1000000000000001"/>
    <n v="8956"/>
    <n v="259000"/>
    <n v="18900000"/>
    <n v="41"/>
    <n v="4.2"/>
    <s v="Tuesday"/>
    <x v="1"/>
    <n v="1735.1496203662348"/>
    <x v="1"/>
    <n v="4.1590733590733592E-2"/>
  </r>
  <r>
    <n v="383"/>
    <x v="381"/>
    <x v="0"/>
    <x v="0"/>
    <s v="Call of Duty: Warzone"/>
    <s v="Fortnite"/>
    <n v="6.9"/>
    <n v="1547"/>
    <n v="3579"/>
    <n v="1.2"/>
    <n v="16866"/>
    <n v="3990000"/>
    <n v="92300000"/>
    <n v="71"/>
    <n v="6.3"/>
    <s v="Tuesday"/>
    <x v="1"/>
    <n v="14194.236926360725"/>
    <x v="1"/>
    <n v="8.9699248120300756E-4"/>
  </r>
  <r>
    <n v="384"/>
    <x v="382"/>
    <x v="3"/>
    <x v="0"/>
    <s v="Fortnite"/>
    <s v="Just Chatting"/>
    <n v="6.3"/>
    <n v="7070"/>
    <n v="24995"/>
    <n v="2.2000000000000002"/>
    <n v="13022"/>
    <n v="1370000"/>
    <n v="48500000"/>
    <n v="211"/>
    <n v="5.2"/>
    <s v="Saturday"/>
    <x v="1"/>
    <n v="6312.3944094609124"/>
    <x v="0"/>
    <n v="1.8244525547445257E-2"/>
  </r>
  <r>
    <n v="385"/>
    <x v="383"/>
    <x v="0"/>
    <x v="0"/>
    <s v="Phasmophobia"/>
    <s v="Welcome to the Game II"/>
    <n v="4.5"/>
    <n v="2990"/>
    <n v="3286"/>
    <n v="1.4"/>
    <n v="7977"/>
    <n v="567000"/>
    <n v="6230000"/>
    <n v="722"/>
    <n v="5.9"/>
    <s v="Saturday"/>
    <x v="2"/>
    <n v="4264.7611884166981"/>
    <x v="1"/>
    <n v="5.795414462081129E-3"/>
  </r>
  <r>
    <n v="386"/>
    <x v="384"/>
    <x v="0"/>
    <x v="0"/>
    <s v="Just Chatting"/>
    <s v="Overwatch"/>
    <n v="4.4000000000000004"/>
    <n v="8210"/>
    <n v="1042"/>
    <n v="1.9"/>
    <n v="6182"/>
    <n v="1060000"/>
    <n v="13400000"/>
    <n v="321"/>
    <n v="3.6"/>
    <s v="Sunday"/>
    <x v="2"/>
    <n v="10287.932707861533"/>
    <x v="1"/>
    <n v="9.8301886792452825E-4"/>
  </r>
  <r>
    <n v="387"/>
    <x v="385"/>
    <x v="0"/>
    <x v="0"/>
    <s v="Fortnite"/>
    <s v="Variety"/>
    <n v="3"/>
    <n v="1004"/>
    <n v="1225"/>
    <n v="1.1000000000000001"/>
    <n v="1498"/>
    <n v="550000"/>
    <n v="671000"/>
    <n v="9"/>
    <n v="2.6"/>
    <s v="Wednesday"/>
    <x v="1"/>
    <n v="22029.372496662218"/>
    <x v="1"/>
    <n v="2.2272727272727275E-3"/>
  </r>
  <r>
    <n v="388"/>
    <x v="386"/>
    <x v="5"/>
    <x v="0"/>
    <s v="Apex Legends"/>
    <s v="Just Chatting"/>
    <n v="5.0999999999999996"/>
    <n v="5790"/>
    <n v="6734"/>
    <n v="1.1000000000000001"/>
    <n v="2299"/>
    <n v="286000"/>
    <n v="3300000"/>
    <n v="62"/>
    <n v="2.6"/>
    <s v="Wednesday"/>
    <x v="1"/>
    <n v="7464.1148325358845"/>
    <x v="1"/>
    <n v="2.3545454545454546E-2"/>
  </r>
  <r>
    <n v="389"/>
    <x v="387"/>
    <x v="0"/>
    <x v="0"/>
    <s v="World of Tanks"/>
    <s v="World of Warcraft"/>
    <n v="7.6"/>
    <n v="2240"/>
    <n v="19066"/>
    <n v="1.2"/>
    <n v="13316"/>
    <n v="611000"/>
    <n v="52800000"/>
    <n v="101"/>
    <n v="4.5"/>
    <s v="Sunday"/>
    <x v="1"/>
    <n v="2753.0790027035146"/>
    <x v="1"/>
    <n v="3.1204582651391161E-2"/>
  </r>
  <r>
    <n v="390"/>
    <x v="388"/>
    <x v="0"/>
    <x v="0"/>
    <s v="League of Legends"/>
    <s v="I'm Only Sleeping"/>
    <n v="8"/>
    <n v="5810"/>
    <n v="45247"/>
    <n v="1"/>
    <n v="14807"/>
    <n v="1260000"/>
    <n v="98000000"/>
    <n v="30"/>
    <n v="5.2"/>
    <s v="Tuesday"/>
    <x v="0"/>
    <n v="5105.6932531910579"/>
    <x v="1"/>
    <n v="3.5910317460317462E-2"/>
  </r>
  <r>
    <n v="391"/>
    <x v="389"/>
    <x v="0"/>
    <x v="0"/>
    <s v="Super Mario Odyssey"/>
    <s v="Minecraft"/>
    <n v="4.9000000000000004"/>
    <n v="9500"/>
    <n v="11469"/>
    <n v="1.2"/>
    <n v="8186"/>
    <n v="1390000"/>
    <n v="16700000"/>
    <n v="116"/>
    <n v="4.7"/>
    <s v="Wednesday"/>
    <x v="4"/>
    <n v="10188.126068898118"/>
    <x v="1"/>
    <n v="8.2510791366906481E-3"/>
  </r>
  <r>
    <n v="392"/>
    <x v="390"/>
    <x v="0"/>
    <x v="0"/>
    <s v="Just Chatting"/>
    <s v="Pools Hot Tubs and Beaches"/>
    <n v="6.2"/>
    <n v="126"/>
    <n v="2324"/>
    <n v="1.5"/>
    <n v="3985"/>
    <n v="894000"/>
    <n v="1650000"/>
    <n v="30"/>
    <n v="2.9"/>
    <s v="Sunday"/>
    <x v="6"/>
    <n v="13460.476787954829"/>
    <x v="1"/>
    <n v="2.599552572706935E-3"/>
  </r>
  <r>
    <n v="393"/>
    <x v="391"/>
    <x v="6"/>
    <x v="0"/>
    <s v="Just Chatting"/>
    <s v="Games + Demos"/>
    <n v="7.1"/>
    <n v="750"/>
    <n v="20321"/>
    <n v="1.6"/>
    <n v="17003"/>
    <n v="264000"/>
    <n v="62800000"/>
    <n v="444"/>
    <n v="6.1"/>
    <s v="Sunday"/>
    <x v="0"/>
    <n v="931.60030582838328"/>
    <x v="1"/>
    <n v="7.6973484848484847E-2"/>
  </r>
  <r>
    <n v="394"/>
    <x v="392"/>
    <x v="3"/>
    <x v="0"/>
    <s v="Fortnite"/>
    <s v="VALORANT"/>
    <n v="6.6"/>
    <n v="9870"/>
    <n v="35775"/>
    <n v="1.5"/>
    <n v="1212"/>
    <n v="1720000"/>
    <n v="61700000"/>
    <n v="80"/>
    <n v="4.7"/>
    <s v="Sunday"/>
    <x v="1"/>
    <n v="85148.514851485146"/>
    <x v="1"/>
    <n v="2.0799418604651163E-2"/>
  </r>
  <r>
    <n v="395"/>
    <x v="393"/>
    <x v="0"/>
    <x v="0"/>
    <s v="Grand Theft Auto V"/>
    <s v="Just Chatting"/>
    <n v="7.8"/>
    <n v="2250"/>
    <n v="13149"/>
    <n v="1.4"/>
    <n v="16655"/>
    <n v="526000"/>
    <n v="30800000"/>
    <n v="293"/>
    <n v="6.2"/>
    <s v="Sunday"/>
    <x v="1"/>
    <n v="1894.9264485139599"/>
    <x v="1"/>
    <n v="2.4998098859315591E-2"/>
  </r>
  <r>
    <n v="396"/>
    <x v="394"/>
    <x v="5"/>
    <x v="0"/>
    <s v="League of Legends"/>
    <s v="Overwatch"/>
    <n v="4.8"/>
    <n v="3300"/>
    <n v="5620"/>
    <n v="1.1000000000000001"/>
    <n v="3012"/>
    <n v="242000"/>
    <n v="415000"/>
    <n v="39"/>
    <n v="1.6"/>
    <s v="Monday"/>
    <x v="1"/>
    <n v="4820.7171314741036"/>
    <x v="1"/>
    <n v="2.322314049586777E-2"/>
  </r>
  <r>
    <n v="397"/>
    <x v="395"/>
    <x v="1"/>
    <x v="0"/>
    <s v="ASMR"/>
    <s v="Just Chatting"/>
    <n v="20.100000000000001"/>
    <n v="1252"/>
    <n v="17286"/>
    <n v="1.5"/>
    <n v="23983"/>
    <n v="1040000"/>
    <n v="14300000"/>
    <n v="36"/>
    <n v="5.8"/>
    <s v="Sunday"/>
    <x v="1"/>
    <n v="2601.8429721052412"/>
    <x v="1"/>
    <n v="1.6621153846153845E-2"/>
  </r>
  <r>
    <n v="398"/>
    <x v="396"/>
    <x v="7"/>
    <x v="0"/>
    <s v="Virtual Casino"/>
    <m/>
    <n v="19.2"/>
    <n v="740"/>
    <n v="0"/>
    <n v="1"/>
    <n v="1350"/>
    <n v="1600"/>
    <n v="0"/>
    <n v="1"/>
    <n v="2.6"/>
    <s v="Monday"/>
    <x v="2"/>
    <n v="71.111111111111114"/>
    <x v="1"/>
    <n v="0"/>
  </r>
  <r>
    <n v="399"/>
    <x v="397"/>
    <x v="0"/>
    <x v="0"/>
    <s v="Tom Clancy's Rainbow Six Siege"/>
    <s v="Variety"/>
    <n v="4.9000000000000004"/>
    <n v="9490"/>
    <n v="660"/>
    <n v="1.3"/>
    <n v="1412"/>
    <n v="275000"/>
    <n v="19300"/>
    <n v="19"/>
    <n v="1.7"/>
    <s v="Sunday"/>
    <x v="1"/>
    <n v="11685.552407932011"/>
    <x v="1"/>
    <n v="2.3999999999999998E-3"/>
  </r>
  <r>
    <n v="400"/>
    <x v="398"/>
    <x v="0"/>
    <x v="0"/>
    <s v="League of Legends"/>
    <s v="Just Chatting"/>
    <n v="6.3"/>
    <n v="4370"/>
    <n v="24839"/>
    <n v="1.3"/>
    <n v="10343"/>
    <n v="826000"/>
    <n v="46900000"/>
    <n v="41"/>
    <n v="4.2"/>
    <s v="Sunday"/>
    <x v="0"/>
    <n v="4791.6465242192789"/>
    <x v="1"/>
    <n v="3.0071428571428572E-2"/>
  </r>
  <r>
    <n v="401"/>
    <x v="399"/>
    <x v="1"/>
    <x v="0"/>
    <s v="Just Chatting"/>
    <s v="Fortnite"/>
    <n v="6"/>
    <n v="1933"/>
    <n v="28164"/>
    <n v="3.1"/>
    <n v="14494"/>
    <n v="5580000"/>
    <n v="82400000"/>
    <n v="539"/>
    <n v="6.2"/>
    <s v="Wednesday"/>
    <x v="0"/>
    <n v="23099.213467641785"/>
    <x v="0"/>
    <n v="5.0473118279569891E-3"/>
  </r>
  <r>
    <n v="402"/>
    <x v="400"/>
    <x v="9"/>
    <x v="0"/>
    <s v="Counter-Strike"/>
    <s v="Just Chatting"/>
    <n v="5.9"/>
    <n v="1590"/>
    <n v="289"/>
    <n v="1.5"/>
    <n v="9401"/>
    <n v="293000"/>
    <n v="5310000"/>
    <n v="80"/>
    <n v="4.0999999999999996"/>
    <s v="Wednesday"/>
    <x v="2"/>
    <n v="1870.0138283161366"/>
    <x v="1"/>
    <n v="9.8634812286689413E-4"/>
  </r>
  <r>
    <n v="403"/>
    <x v="401"/>
    <x v="4"/>
    <x v="0"/>
    <s v="Dota 2"/>
    <s v="Variety"/>
    <n v="9.9"/>
    <n v="1668"/>
    <n v="0"/>
    <n v="1.1000000000000001"/>
    <n v="3060"/>
    <n v="55200"/>
    <n v="0"/>
    <n v="2"/>
    <n v="0.5"/>
    <s v="Wednesday"/>
    <x v="5"/>
    <n v="1082.3529411764705"/>
    <x v="1"/>
    <n v="0"/>
  </r>
  <r>
    <n v="404"/>
    <x v="402"/>
    <x v="0"/>
    <x v="0"/>
    <s v="Just Chatting"/>
    <s v="IRL"/>
    <n v="5.5"/>
    <n v="8630"/>
    <n v="21836"/>
    <n v="1.1000000000000001"/>
    <n v="8045"/>
    <n v="1220000"/>
    <n v="33200000"/>
    <n v="51"/>
    <n v="3.9"/>
    <s v="Wednesday"/>
    <x v="4"/>
    <n v="9098.8191423244243"/>
    <x v="1"/>
    <n v="1.7898360655737706E-2"/>
  </r>
  <r>
    <n v="405"/>
    <x v="403"/>
    <x v="1"/>
    <x v="0"/>
    <s v="Just Chatting"/>
    <s v="Slots"/>
    <n v="2.7"/>
    <n v="2620"/>
    <n v="1736"/>
    <n v="1.4"/>
    <n v="3142"/>
    <n v="363000"/>
    <n v="2410000"/>
    <n v="29"/>
    <n v="4.4000000000000004"/>
    <s v="Monday"/>
    <x v="3"/>
    <n v="6931.8905155951625"/>
    <x v="1"/>
    <n v="4.7823691460055096E-3"/>
  </r>
  <r>
    <n v="406"/>
    <x v="404"/>
    <x v="0"/>
    <x v="0"/>
    <s v="Overwatch"/>
    <s v="Overwatch 2"/>
    <n v="5.7"/>
    <n v="3580"/>
    <n v="1475"/>
    <n v="1.2"/>
    <n v="10161"/>
    <n v="655000"/>
    <n v="2700000"/>
    <n v="109"/>
    <n v="5"/>
    <s v="Saturday"/>
    <x v="6"/>
    <n v="3867.7295541777385"/>
    <x v="1"/>
    <n v="2.251908396946565E-3"/>
  </r>
  <r>
    <n v="407"/>
    <x v="405"/>
    <x v="5"/>
    <x v="0"/>
    <s v="Minecraft"/>
    <s v="VALORANT"/>
    <n v="3.5"/>
    <n v="1310"/>
    <n v="2083"/>
    <n v="1.2"/>
    <n v="6668"/>
    <n v="267000"/>
    <n v="4240000"/>
    <n v="274"/>
    <n v="5.3"/>
    <s v="Sunday"/>
    <x v="1"/>
    <n v="2402.5194961007796"/>
    <x v="1"/>
    <n v="7.8014981273408241E-3"/>
  </r>
  <r>
    <n v="408"/>
    <x v="406"/>
    <x v="1"/>
    <x v="0"/>
    <s v="League of Legends"/>
    <s v="Just Chatting"/>
    <n v="4.8"/>
    <n v="7720"/>
    <n v="2006"/>
    <n v="2.2999999999999998"/>
    <n v="4392"/>
    <n v="732000"/>
    <n v="1900000"/>
    <n v="115"/>
    <n v="3.2"/>
    <s v="Tuesday"/>
    <x v="1"/>
    <n v="10000"/>
    <x v="0"/>
    <n v="2.7404371584699451E-3"/>
  </r>
  <r>
    <n v="409"/>
    <x v="407"/>
    <x v="2"/>
    <x v="0"/>
    <s v="Call of Duty: Warzone"/>
    <s v="Z1: Battle Royale"/>
    <n v="6.9"/>
    <n v="2240"/>
    <n v="847"/>
    <n v="1.3"/>
    <n v="15457"/>
    <n v="804000"/>
    <n v="30400000"/>
    <n v="92"/>
    <n v="5.7"/>
    <s v="Sunday"/>
    <x v="1"/>
    <n v="3120.9160897975025"/>
    <x v="1"/>
    <n v="1.0534825870646767E-3"/>
  </r>
  <r>
    <n v="410"/>
    <x v="408"/>
    <x v="7"/>
    <x v="0"/>
    <s v="League of Legends"/>
    <s v="Virtual Casino"/>
    <n v="5.8"/>
    <n v="1780"/>
    <n v="1451"/>
    <n v="1.4"/>
    <n v="5592"/>
    <n v="163000"/>
    <n v="1340000"/>
    <n v="25"/>
    <n v="3.9"/>
    <s v="Thursday"/>
    <x v="4"/>
    <n v="1748.9270386266094"/>
    <x v="1"/>
    <n v="8.9018404907975461E-3"/>
  </r>
  <r>
    <n v="411"/>
    <x v="409"/>
    <x v="3"/>
    <x v="0"/>
    <s v="Just Chatting"/>
    <s v="Grand Theft Auto V"/>
    <n v="7.5"/>
    <n v="3680"/>
    <n v="1762"/>
    <n v="2.4"/>
    <n v="6296"/>
    <n v="327000"/>
    <n v="1560000"/>
    <n v="119"/>
    <n v="3.4"/>
    <s v="Friday"/>
    <x v="2"/>
    <n v="3116.2642947903428"/>
    <x v="0"/>
    <n v="5.3883792048929667E-3"/>
  </r>
  <r>
    <n v="412"/>
    <x v="410"/>
    <x v="0"/>
    <x v="0"/>
    <s v="Minecraft"/>
    <s v="VALORANT"/>
    <n v="6.1"/>
    <n v="1675"/>
    <n v="19614"/>
    <n v="2.2999999999999998"/>
    <n v="7796"/>
    <n v="2190000"/>
    <n v="25600000"/>
    <n v="159"/>
    <n v="4.2"/>
    <s v="Wednesday"/>
    <x v="0"/>
    <n v="16854.79733196511"/>
    <x v="0"/>
    <n v="8.9561643835616433E-3"/>
  </r>
  <r>
    <n v="413"/>
    <x v="411"/>
    <x v="0"/>
    <x v="0"/>
    <s v="Just Chatting"/>
    <s v="Grand Theft Auto V"/>
    <n v="3.4"/>
    <n v="1462"/>
    <n v="8318"/>
    <n v="1.7"/>
    <n v="4654"/>
    <n v="1860000"/>
    <n v="10600000"/>
    <n v="376"/>
    <n v="5.2"/>
    <s v="Tuesday"/>
    <x v="6"/>
    <n v="23979.37258272454"/>
    <x v="1"/>
    <n v="4.472043010752688E-3"/>
  </r>
  <r>
    <n v="414"/>
    <x v="412"/>
    <x v="7"/>
    <x v="0"/>
    <s v="Virtual Casino"/>
    <s v="Grand Theft Auto V"/>
    <n v="19.600000000000001"/>
    <n v="2320"/>
    <n v="350"/>
    <n v="1.1000000000000001"/>
    <n v="5822"/>
    <n v="47800"/>
    <n v="7200"/>
    <n v="11"/>
    <n v="1.2"/>
    <s v="Thursday"/>
    <x v="0"/>
    <n v="492.61422191686705"/>
    <x v="1"/>
    <n v="7.3221757322175732E-3"/>
  </r>
  <r>
    <n v="415"/>
    <x v="413"/>
    <x v="1"/>
    <x v="0"/>
    <s v="Minecraft"/>
    <s v="League of Legends"/>
    <n v="4"/>
    <n v="3700"/>
    <n v="30015"/>
    <n v="1.3"/>
    <n v="8018"/>
    <n v="1070000"/>
    <n v="79800000"/>
    <n v="525"/>
    <n v="5.0999999999999996"/>
    <s v="Tuesday"/>
    <x v="1"/>
    <n v="8006.9842853579448"/>
    <x v="1"/>
    <n v="2.8051401869158877E-2"/>
  </r>
  <r>
    <n v="416"/>
    <x v="414"/>
    <x v="4"/>
    <x v="0"/>
    <s v="Dota 2"/>
    <s v="Just Chatting"/>
    <n v="3.8"/>
    <n v="4460"/>
    <n v="6927"/>
    <n v="1.6"/>
    <n v="2137"/>
    <n v="255000"/>
    <n v="3950000"/>
    <n v="60"/>
    <n v="1.4"/>
    <s v="Sunday"/>
    <x v="0"/>
    <n v="7159.5694899391674"/>
    <x v="1"/>
    <n v="2.7164705882352942E-2"/>
  </r>
  <r>
    <n v="417"/>
    <x v="415"/>
    <x v="7"/>
    <x v="0"/>
    <s v="Virtual Casino"/>
    <m/>
    <n v="20.399999999999999"/>
    <n v="310"/>
    <n v="0"/>
    <n v="1"/>
    <n v="1630"/>
    <n v="1500"/>
    <n v="0"/>
    <n v="1"/>
    <n v="2.2999999999999998"/>
    <s v="Friday"/>
    <x v="5"/>
    <n v="55.214723926380366"/>
    <x v="1"/>
    <n v="0"/>
  </r>
  <r>
    <n v="418"/>
    <x v="416"/>
    <x v="0"/>
    <x v="0"/>
    <s v="Genshin Impact"/>
    <s v="Honkai: Star Rail"/>
    <n v="4.2"/>
    <n v="6100"/>
    <n v="2761"/>
    <n v="1.1000000000000001"/>
    <n v="2494"/>
    <n v="356000"/>
    <n v="1610000"/>
    <n v="33"/>
    <n v="1.9"/>
    <s v="Wednesday"/>
    <x v="3"/>
    <n v="8564.5549318364065"/>
    <x v="1"/>
    <n v="7.75561797752809E-3"/>
  </r>
  <r>
    <n v="419"/>
    <x v="417"/>
    <x v="3"/>
    <x v="0"/>
    <s v="Just Chatting"/>
    <s v="IRL"/>
    <n v="4.3"/>
    <n v="3250"/>
    <n v="1166"/>
    <n v="1"/>
    <n v="2841"/>
    <n v="215000"/>
    <n v="773000"/>
    <n v="16"/>
    <n v="1.9"/>
    <s v="Thursday"/>
    <x v="1"/>
    <n v="4540.6546990496299"/>
    <x v="1"/>
    <n v="5.423255813953488E-3"/>
  </r>
  <r>
    <n v="420"/>
    <x v="418"/>
    <x v="4"/>
    <x v="0"/>
    <s v="Casino"/>
    <m/>
    <n v="8.1999999999999993"/>
    <n v="30"/>
    <n v="0"/>
    <n v="1"/>
    <n v="160"/>
    <n v="280"/>
    <n v="0"/>
    <n v="1"/>
    <n v="2"/>
    <s v="Tuesday"/>
    <x v="6"/>
    <n v="105"/>
    <x v="1"/>
    <n v="0"/>
  </r>
  <r>
    <n v="421"/>
    <x v="419"/>
    <x v="3"/>
    <x v="0"/>
    <s v="Call of Duty: Warzone"/>
    <s v="Fortnite"/>
    <n v="6.7"/>
    <n v="4320"/>
    <n v="8098"/>
    <n v="2.1"/>
    <n v="10976"/>
    <n v="715000"/>
    <n v="12400000"/>
    <n v="144"/>
    <n v="4.2"/>
    <s v="Thursday"/>
    <x v="1"/>
    <n v="3908.5276967930026"/>
    <x v="0"/>
    <n v="1.1325874125874125E-2"/>
  </r>
  <r>
    <n v="422"/>
    <x v="420"/>
    <x v="4"/>
    <x v="0"/>
    <s v="Dota 2"/>
    <s v="Warcraft III"/>
    <n v="7.3"/>
    <n v="1480"/>
    <n v="36828"/>
    <n v="1.9"/>
    <n v="15004"/>
    <n v="430000"/>
    <n v="89700000"/>
    <n v="737"/>
    <n v="5.2"/>
    <s v="Sunday"/>
    <x v="1"/>
    <n v="1719.5414556118369"/>
    <x v="1"/>
    <n v="8.5646511627906971E-2"/>
  </r>
  <r>
    <n v="423"/>
    <x v="421"/>
    <x v="8"/>
    <x v="0"/>
    <s v="Just Chatting"/>
    <s v="Grand Theft Auto V"/>
    <n v="3"/>
    <n v="1296"/>
    <n v="11838"/>
    <n v="1.3"/>
    <n v="2472"/>
    <n v="1020000"/>
    <n v="9330000"/>
    <n v="52"/>
    <n v="4.3"/>
    <s v="Thursday"/>
    <x v="0"/>
    <n v="24757.281553398057"/>
    <x v="1"/>
    <n v="1.1605882352941176E-2"/>
  </r>
  <r>
    <n v="424"/>
    <x v="422"/>
    <x v="1"/>
    <x v="0"/>
    <s v="Grand Theft Auto V"/>
    <s v="Just Chatting"/>
    <n v="4.5"/>
    <n v="1480"/>
    <n v="1544"/>
    <n v="1.5"/>
    <n v="6225"/>
    <n v="209000"/>
    <n v="2180000"/>
    <n v="65"/>
    <n v="4.5"/>
    <s v="Tuesday"/>
    <x v="1"/>
    <n v="2014.4578313253012"/>
    <x v="1"/>
    <n v="7.3875598086124402E-3"/>
  </r>
  <r>
    <n v="425"/>
    <x v="423"/>
    <x v="0"/>
    <x v="0"/>
    <s v="Animals Aquariums and Zoos"/>
    <s v="Just Chatting"/>
    <n v="21.8"/>
    <n v="5460"/>
    <n v="4040"/>
    <n v="1.8"/>
    <n v="13847"/>
    <n v="204000"/>
    <n v="155000"/>
    <n v="28"/>
    <n v="4.3"/>
    <s v="Wednesday"/>
    <x v="3"/>
    <n v="883.9459810789341"/>
    <x v="1"/>
    <n v="1.9803921568627449E-2"/>
  </r>
  <r>
    <n v="426"/>
    <x v="424"/>
    <x v="2"/>
    <x v="0"/>
    <s v="Apex Legends"/>
    <s v="VALORANT"/>
    <n v="4.2"/>
    <n v="5630"/>
    <n v="8440"/>
    <n v="1.3"/>
    <n v="3318"/>
    <n v="464000"/>
    <n v="696000"/>
    <n v="94"/>
    <n v="4.0999999999999996"/>
    <s v="Saturday"/>
    <x v="1"/>
    <n v="8390.5967450271255"/>
    <x v="1"/>
    <n v="1.8189655172413794E-2"/>
  </r>
  <r>
    <n v="427"/>
    <x v="425"/>
    <x v="2"/>
    <x v="1"/>
    <s v="Rocket League"/>
    <s v="Rocket League Sideswipe"/>
    <n v="4.2"/>
    <n v="4210"/>
    <n v="9353"/>
    <n v="1"/>
    <n v="4393"/>
    <n v="433000"/>
    <n v="9890000"/>
    <n v="3"/>
    <n v="2.6"/>
    <s v="Wednesday"/>
    <x v="1"/>
    <n v="5913.95401775552"/>
    <x v="1"/>
    <n v="2.1600461893764435E-2"/>
  </r>
  <r>
    <n v="428"/>
    <x v="426"/>
    <x v="6"/>
    <x v="0"/>
    <s v="Sports"/>
    <s v="Fitness &amp; Health"/>
    <n v="3.9"/>
    <n v="1500"/>
    <n v="21024"/>
    <n v="1"/>
    <n v="2303"/>
    <n v="164000"/>
    <n v="22700000"/>
    <n v="12"/>
    <n v="2.8"/>
    <s v="Monday"/>
    <x v="1"/>
    <n v="4272.6877985236652"/>
    <x v="1"/>
    <n v="0.12819512195121952"/>
  </r>
  <r>
    <n v="429"/>
    <x v="427"/>
    <x v="0"/>
    <x v="0"/>
    <s v="League of Legends"/>
    <s v="Teamfight Tactics"/>
    <n v="6.3"/>
    <n v="2730"/>
    <n v="25602"/>
    <n v="1.1000000000000001"/>
    <n v="13258"/>
    <n v="872000"/>
    <n v="71100000"/>
    <n v="68"/>
    <n v="5.4"/>
    <s v="Sunday"/>
    <x v="4"/>
    <n v="3946.2965756524363"/>
    <x v="1"/>
    <n v="2.9360091743119265E-2"/>
  </r>
  <r>
    <n v="430"/>
    <x v="428"/>
    <x v="6"/>
    <x v="0"/>
    <s v="League of Legends"/>
    <s v="Street Fighter 6"/>
    <n v="6.7"/>
    <n v="620"/>
    <n v="33312"/>
    <n v="2"/>
    <n v="16059"/>
    <n v="375000"/>
    <n v="149000000"/>
    <n v="826"/>
    <n v="5.9"/>
    <s v="Sunday"/>
    <x v="2"/>
    <n v="1401.0835045768729"/>
    <x v="1"/>
    <n v="8.8831999999999994E-2"/>
  </r>
  <r>
    <n v="431"/>
    <x v="429"/>
    <x v="9"/>
    <x v="0"/>
    <s v="League of Legends"/>
    <s v="Just Chatting"/>
    <n v="7.3"/>
    <n v="1930"/>
    <n v="8126"/>
    <n v="1.4"/>
    <n v="11671"/>
    <n v="336000"/>
    <n v="14200000"/>
    <n v="105"/>
    <n v="4.5"/>
    <s v="Thursday"/>
    <x v="1"/>
    <n v="1727.3584097335274"/>
    <x v="1"/>
    <n v="2.4184523809523809E-2"/>
  </r>
  <r>
    <n v="432"/>
    <x v="430"/>
    <x v="0"/>
    <x v="0"/>
    <s v="Yu-Gi-Oh! Duel Links"/>
    <s v="Yu-Gi-Oh! Master Duel"/>
    <n v="5.5"/>
    <n v="2130"/>
    <n v="34434"/>
    <n v="1.3"/>
    <n v="7875"/>
    <n v="212000"/>
    <n v="34700000"/>
    <n v="90"/>
    <n v="3.7"/>
    <s v="Tuesday"/>
    <x v="0"/>
    <n v="1615.2380952380952"/>
    <x v="1"/>
    <n v="0.16242452830188681"/>
  </r>
  <r>
    <n v="433"/>
    <x v="431"/>
    <x v="0"/>
    <x v="0"/>
    <s v="iRacing"/>
    <s v="EA Sports FC 24"/>
    <n v="3.8"/>
    <n v="2052"/>
    <n v="2316"/>
    <n v="1.1000000000000001"/>
    <n v="5210"/>
    <n v="269000"/>
    <n v="304000"/>
    <n v="13"/>
    <n v="0.6"/>
    <s v="Wednesday"/>
    <x v="0"/>
    <n v="3097.8886756238007"/>
    <x v="1"/>
    <n v="8.6096654275092943E-3"/>
  </r>
  <r>
    <n v="434"/>
    <x v="432"/>
    <x v="0"/>
    <x v="0"/>
    <s v="Overwatch"/>
    <s v="Overwatch 2"/>
    <n v="6.8"/>
    <n v="4500"/>
    <n v="9513"/>
    <n v="1.2"/>
    <n v="12307"/>
    <n v="828000"/>
    <n v="17600000"/>
    <n v="65"/>
    <n v="5.0999999999999996"/>
    <s v="Wednesday"/>
    <x v="6"/>
    <n v="4036.7270658974567"/>
    <x v="1"/>
    <n v="1.1489130434782609E-2"/>
  </r>
  <r>
    <n v="435"/>
    <x v="433"/>
    <x v="0"/>
    <x v="0"/>
    <s v="Trackmania"/>
    <s v="TrackMania (1)"/>
    <n v="4.9000000000000004"/>
    <n v="890"/>
    <n v="2473"/>
    <n v="1.1000000000000001"/>
    <n v="5773"/>
    <n v="107000"/>
    <n v="2970000"/>
    <n v="41"/>
    <n v="3.1"/>
    <s v="Tuesday"/>
    <x v="2"/>
    <n v="1112.0734453490386"/>
    <x v="1"/>
    <n v="2.3112149532710281E-2"/>
  </r>
  <r>
    <n v="436"/>
    <x v="434"/>
    <x v="4"/>
    <x v="0"/>
    <s v="Counter-Strike"/>
    <s v="Just Chatting"/>
    <n v="5.8"/>
    <n v="1830"/>
    <n v="8490"/>
    <n v="1.4"/>
    <n v="3229"/>
    <n v="110000"/>
    <n v="507000"/>
    <n v="16"/>
    <n v="4.2"/>
    <s v="Friday"/>
    <x v="0"/>
    <n v="2043.9764633013315"/>
    <x v="1"/>
    <n v="7.7181818181818185E-2"/>
  </r>
  <r>
    <n v="437"/>
    <x v="435"/>
    <x v="7"/>
    <x v="0"/>
    <s v="VALORANT"/>
    <s v="Just Chatting"/>
    <n v="8.5"/>
    <n v="4460"/>
    <n v="11288"/>
    <n v="1.5"/>
    <n v="11605"/>
    <n v="702000"/>
    <n v="17800000"/>
    <n v="150"/>
    <n v="4.8"/>
    <s v="Monday"/>
    <x v="1"/>
    <n v="3629.4700560103406"/>
    <x v="1"/>
    <n v="1.607977207977208E-2"/>
  </r>
  <r>
    <n v="438"/>
    <x v="436"/>
    <x v="5"/>
    <x v="0"/>
    <s v="Street Fighter V"/>
    <s v="Street Fighter 6"/>
    <n v="4.5"/>
    <n v="3110"/>
    <n v="13147"/>
    <n v="1.1000000000000001"/>
    <n v="4523"/>
    <n v="421000"/>
    <n v="18200000"/>
    <n v="51"/>
    <n v="2.6"/>
    <s v="Thursday"/>
    <x v="1"/>
    <n v="5584.7888569533488"/>
    <x v="1"/>
    <n v="3.1228028503562946E-2"/>
  </r>
  <r>
    <n v="439"/>
    <x v="437"/>
    <x v="7"/>
    <x v="0"/>
    <s v="FIFA 22"/>
    <s v="FIFA 18"/>
    <n v="5"/>
    <n v="6550"/>
    <n v="10397"/>
    <n v="1.3"/>
    <n v="6279"/>
    <n v="768000"/>
    <n v="12200000"/>
    <n v="37"/>
    <n v="3.5"/>
    <s v="Monday"/>
    <x v="0"/>
    <n v="7338.7482083134255"/>
    <x v="1"/>
    <n v="1.3537760416666666E-2"/>
  </r>
  <r>
    <n v="440"/>
    <x v="438"/>
    <x v="2"/>
    <x v="1"/>
    <s v="VALORANT"/>
    <s v="Counter-Strike"/>
    <n v="6.2"/>
    <n v="3560"/>
    <n v="13956"/>
    <n v="1"/>
    <n v="3582"/>
    <n v="209000"/>
    <n v="8210000"/>
    <n v="3"/>
    <n v="1.9"/>
    <s v="Saturday"/>
    <x v="2"/>
    <n v="3500.8375209380233"/>
    <x v="1"/>
    <n v="6.6775119617224876E-2"/>
  </r>
  <r>
    <n v="441"/>
    <x v="439"/>
    <x v="0"/>
    <x v="0"/>
    <s v="DayZ"/>
    <s v="Escape from Tarkov"/>
    <n v="8"/>
    <n v="2300"/>
    <n v="11205"/>
    <n v="1.3"/>
    <n v="13025"/>
    <n v="322000"/>
    <n v="15700000"/>
    <n v="58"/>
    <n v="4.2"/>
    <s v="Saturday"/>
    <x v="3"/>
    <n v="1483.3013435700575"/>
    <x v="1"/>
    <n v="3.4798136645962735E-2"/>
  </r>
  <r>
    <n v="442"/>
    <x v="440"/>
    <x v="2"/>
    <x v="0"/>
    <s v="Grand Theft Auto V"/>
    <s v="Just Chatting"/>
    <n v="4.9000000000000004"/>
    <n v="4680"/>
    <n v="10645"/>
    <n v="1.9"/>
    <n v="7891"/>
    <n v="789000"/>
    <n v="17900000"/>
    <n v="168"/>
    <n v="5.4"/>
    <s v="Monday"/>
    <x v="4"/>
    <n v="5999.2396400963116"/>
    <x v="1"/>
    <n v="1.3491761723700887E-2"/>
  </r>
  <r>
    <n v="443"/>
    <x v="441"/>
    <x v="5"/>
    <x v="0"/>
    <s v="League of Legends"/>
    <s v="VALORANT"/>
    <n v="5.6"/>
    <n v="2220"/>
    <n v="1158"/>
    <n v="1.2"/>
    <n v="4347"/>
    <n v="198000"/>
    <n v="1030000"/>
    <n v="83"/>
    <n v="2.9"/>
    <s v="Monday"/>
    <x v="1"/>
    <n v="2732.9192546583849"/>
    <x v="1"/>
    <n v="5.8484848484848485E-3"/>
  </r>
  <r>
    <n v="444"/>
    <x v="442"/>
    <x v="0"/>
    <x v="0"/>
    <s v="Call of Duty: Warzone"/>
    <s v="Call of Duty: Modern Warfare III"/>
    <n v="5.3"/>
    <n v="7190"/>
    <n v="10401"/>
    <n v="1.1000000000000001"/>
    <n v="5355"/>
    <n v="722000"/>
    <n v="10400000"/>
    <n v="26"/>
    <n v="3.3"/>
    <s v="Tuesday"/>
    <x v="1"/>
    <n v="8089.6358543417364"/>
    <x v="1"/>
    <n v="1.4405817174515235E-2"/>
  </r>
  <r>
    <n v="445"/>
    <x v="443"/>
    <x v="0"/>
    <x v="0"/>
    <s v="World of Warcraft"/>
    <s v="New World"/>
    <n v="6.4"/>
    <n v="1890"/>
    <n v="10871"/>
    <n v="1.1000000000000001"/>
    <n v="15663"/>
    <n v="583000"/>
    <n v="36500000"/>
    <n v="46"/>
    <n v="6.2"/>
    <s v="Wednesday"/>
    <x v="4"/>
    <n v="2233.2886420226009"/>
    <x v="1"/>
    <n v="1.8646655231560894E-2"/>
  </r>
  <r>
    <n v="446"/>
    <x v="444"/>
    <x v="0"/>
    <x v="0"/>
    <s v="Dota 2"/>
    <s v="Counter-Strike"/>
    <n v="7"/>
    <n v="2230"/>
    <n v="5124"/>
    <n v="1.1000000000000001"/>
    <n v="7462"/>
    <n v="264000"/>
    <n v="6350000"/>
    <n v="9"/>
    <n v="3.2"/>
    <s v="Thursday"/>
    <x v="1"/>
    <n v="2122.7552934870009"/>
    <x v="1"/>
    <n v="1.9409090909090911E-2"/>
  </r>
  <r>
    <n v="447"/>
    <x v="445"/>
    <x v="4"/>
    <x v="0"/>
    <s v="Casino"/>
    <m/>
    <n v="6.3"/>
    <n v="10"/>
    <n v="0"/>
    <n v="1"/>
    <n v="130"/>
    <n v="1"/>
    <n v="0"/>
    <n v="1"/>
    <n v="0.5"/>
    <s v="Wednesday"/>
    <x v="2"/>
    <n v="0.46153846153846156"/>
    <x v="1"/>
    <n v="0"/>
  </r>
  <r>
    <n v="448"/>
    <x v="446"/>
    <x v="7"/>
    <x v="0"/>
    <s v="Garena Free Fire"/>
    <s v="Virtual Casino"/>
    <n v="20.8"/>
    <n v="980"/>
    <n v="5205"/>
    <n v="1.3"/>
    <n v="30982"/>
    <n v="133000"/>
    <n v="7050000"/>
    <n v="20"/>
    <n v="6.4"/>
    <s v="Friday"/>
    <x v="2"/>
    <n v="257.56891098056934"/>
    <x v="1"/>
    <n v="3.9135338345864662E-2"/>
  </r>
  <r>
    <n v="449"/>
    <x v="447"/>
    <x v="0"/>
    <x v="0"/>
    <s v="Hearthstone"/>
    <s v="Teamfight Tactics"/>
    <n v="6"/>
    <n v="1943"/>
    <n v="63122"/>
    <n v="1.7"/>
    <n v="9615"/>
    <n v="2840000"/>
    <n v="90300000"/>
    <n v="271"/>
    <n v="4.0999999999999996"/>
    <s v="Friday"/>
    <x v="0"/>
    <n v="17722.308892355693"/>
    <x v="1"/>
    <n v="2.2226056338028169E-2"/>
  </r>
  <r>
    <n v="450"/>
    <x v="448"/>
    <x v="0"/>
    <x v="0"/>
    <s v="Overwatch"/>
    <s v="Overwatch 2"/>
    <n v="5.0999999999999996"/>
    <n v="2890"/>
    <n v="4303"/>
    <n v="1.1000000000000001"/>
    <n v="6876"/>
    <n v="364000"/>
    <n v="5410000"/>
    <n v="70"/>
    <n v="3.7"/>
    <s v="Tuesday"/>
    <x v="1"/>
    <n v="3176.2652705061082"/>
    <x v="1"/>
    <n v="1.1821428571428571E-2"/>
  </r>
  <r>
    <n v="451"/>
    <x v="449"/>
    <x v="7"/>
    <x v="0"/>
    <s v="Fortnite"/>
    <s v="Just Chatting"/>
    <n v="4.8"/>
    <n v="4260"/>
    <n v="6193"/>
    <n v="1.4"/>
    <n v="7323"/>
    <n v="770000"/>
    <n v="11200000"/>
    <n v="69"/>
    <n v="6"/>
    <s v="Friday"/>
    <x v="1"/>
    <n v="6308.8897992625971"/>
    <x v="1"/>
    <n v="8.0428571428571433E-3"/>
  </r>
  <r>
    <n v="452"/>
    <x v="450"/>
    <x v="3"/>
    <x v="0"/>
    <s v="Just Chatting"/>
    <s v="Fortnite"/>
    <n v="6"/>
    <n v="7440"/>
    <n v="8389"/>
    <n v="2.1"/>
    <n v="7729"/>
    <n v="1010000"/>
    <n v="11300000"/>
    <n v="97"/>
    <n v="4.2"/>
    <s v="Monday"/>
    <x v="1"/>
    <n v="7840.6003363953942"/>
    <x v="0"/>
    <n v="8.3059405940594053E-3"/>
  </r>
  <r>
    <n v="453"/>
    <x v="451"/>
    <x v="0"/>
    <x v="0"/>
    <s v="Old School RuneScape"/>
    <s v="RuneScape"/>
    <n v="1.5"/>
    <n v="7330"/>
    <n v="13143"/>
    <n v="1"/>
    <n v="4570"/>
    <n v="239000"/>
    <n v="4040000"/>
    <n v="2"/>
    <n v="0.9"/>
    <s v="Thursday"/>
    <x v="0"/>
    <n v="3137.8555798687089"/>
    <x v="1"/>
    <n v="5.4991631799163179E-2"/>
  </r>
  <r>
    <n v="454"/>
    <x v="452"/>
    <x v="2"/>
    <x v="0"/>
    <s v="League of Legends"/>
    <s v="Rocket League"/>
    <n v="8.3000000000000007"/>
    <n v="6460"/>
    <n v="619"/>
    <n v="1.6"/>
    <n v="17782"/>
    <n v="1260000"/>
    <n v="120000000"/>
    <n v="177"/>
    <n v="5.4"/>
    <s v="Wednesday"/>
    <x v="0"/>
    <n v="4251.4902710606229"/>
    <x v="1"/>
    <n v="4.9126984126984124E-4"/>
  </r>
  <r>
    <n v="455"/>
    <x v="453"/>
    <x v="0"/>
    <x v="0"/>
    <s v="VALORANT"/>
    <s v="Overwatch"/>
    <n v="5.5"/>
    <n v="1185"/>
    <n v="31271"/>
    <n v="1.4"/>
    <n v="9004"/>
    <n v="1880000"/>
    <n v="49700000"/>
    <n v="77"/>
    <n v="4.2"/>
    <s v="Tuesday"/>
    <x v="1"/>
    <n v="12527.765437583297"/>
    <x v="1"/>
    <n v="1.6633510638297874E-2"/>
  </r>
  <r>
    <n v="456"/>
    <x v="454"/>
    <x v="3"/>
    <x v="0"/>
    <s v="Just Chatting"/>
    <s v="Fortnite"/>
    <n v="5.7"/>
    <n v="7960"/>
    <n v="618"/>
    <n v="2.2000000000000002"/>
    <n v="6056"/>
    <n v="879000"/>
    <n v="6830000"/>
    <n v="89"/>
    <n v="4.9000000000000004"/>
    <s v="Thursday"/>
    <x v="1"/>
    <n v="8708.7186261558782"/>
    <x v="0"/>
    <n v="7.0307167235494883E-4"/>
  </r>
  <r>
    <n v="457"/>
    <x v="455"/>
    <x v="5"/>
    <x v="0"/>
    <s v="PUBG: BATTLEGROUNDS"/>
    <s v="Apex Legends"/>
    <n v="7.3"/>
    <n v="2320"/>
    <n v="23312"/>
    <n v="1.5"/>
    <n v="16274"/>
    <n v="616000"/>
    <n v="61600000"/>
    <n v="166"/>
    <n v="5.7"/>
    <s v="Saturday"/>
    <x v="1"/>
    <n v="2271.1072876981689"/>
    <x v="1"/>
    <n v="3.7844155844155847E-2"/>
  </r>
  <r>
    <n v="458"/>
    <x v="456"/>
    <x v="0"/>
    <x v="0"/>
    <s v="Just Chatting"/>
    <s v="IRL"/>
    <n v="5"/>
    <n v="2790"/>
    <n v="6943"/>
    <n v="3.1"/>
    <n v="9092"/>
    <n v="466000"/>
    <n v="11600000"/>
    <n v="541"/>
    <n v="4.8"/>
    <s v="Wednesday"/>
    <x v="5"/>
    <n v="3075.2309722833261"/>
    <x v="0"/>
    <n v="1.4899141630901287E-2"/>
  </r>
  <r>
    <n v="459"/>
    <x v="457"/>
    <x v="0"/>
    <x v="0"/>
    <s v="Just Chatting"/>
    <s v="Overwatch"/>
    <n v="6.9"/>
    <n v="4230"/>
    <n v="19352"/>
    <n v="2.8"/>
    <n v="1516"/>
    <n v="1080000"/>
    <n v="47300000"/>
    <n v="793"/>
    <n v="5.5"/>
    <s v="Tuesday"/>
    <x v="0"/>
    <n v="42744.063324538263"/>
    <x v="0"/>
    <n v="1.7918518518518518E-2"/>
  </r>
  <r>
    <n v="460"/>
    <x v="458"/>
    <x v="6"/>
    <x v="0"/>
    <s v="Just Chatting"/>
    <s v="Dead by Daylight"/>
    <n v="10.199999999999999"/>
    <n v="1130"/>
    <n v="1702"/>
    <n v="1.9"/>
    <n v="12163"/>
    <n v="125000"/>
    <n v="1880000"/>
    <n v="136"/>
    <n v="5.7"/>
    <s v="Saturday"/>
    <x v="1"/>
    <n v="616.62418811148564"/>
    <x v="1"/>
    <n v="1.3616E-2"/>
  </r>
  <r>
    <n v="461"/>
    <x v="459"/>
    <x v="5"/>
    <x v="0"/>
    <s v="Just Chatting"/>
    <s v="VALORANT"/>
    <n v="7.4"/>
    <n v="1510"/>
    <n v="596"/>
    <n v="2"/>
    <n v="7185"/>
    <n v="171000"/>
    <n v="6750000"/>
    <n v="365"/>
    <n v="3.4"/>
    <s v="Saturday"/>
    <x v="1"/>
    <n v="1427.9749478079332"/>
    <x v="1"/>
    <n v="3.4853801169590641E-3"/>
  </r>
  <r>
    <n v="462"/>
    <x v="460"/>
    <x v="0"/>
    <x v="0"/>
    <s v="Just Chatting"/>
    <s v="Call of Duty: Warzone"/>
    <n v="3.4"/>
    <n v="2443"/>
    <n v="53657"/>
    <n v="1.6"/>
    <n v="2611"/>
    <n v="2009999"/>
    <n v="39900000"/>
    <n v="114"/>
    <n v="2"/>
    <s v="Friday"/>
    <x v="5"/>
    <n v="46189.176560704713"/>
    <x v="1"/>
    <n v="2.66950381567354E-2"/>
  </r>
  <r>
    <n v="463"/>
    <x v="461"/>
    <x v="7"/>
    <x v="0"/>
    <s v="VALORANT"/>
    <s v="Paladins"/>
    <n v="3.5"/>
    <n v="3970"/>
    <n v="1716"/>
    <n v="1.1000000000000001"/>
    <n v="3833"/>
    <n v="402000"/>
    <n v="1740000"/>
    <n v="43"/>
    <n v="3.1"/>
    <s v="Wednesday"/>
    <x v="0"/>
    <n v="6292.7211061831467"/>
    <x v="1"/>
    <n v="4.2686567164179103E-3"/>
  </r>
  <r>
    <n v="464"/>
    <x v="462"/>
    <x v="0"/>
    <x v="0"/>
    <s v="Fortnite"/>
    <s v="Apex Legends"/>
    <n v="7"/>
    <n v="3355"/>
    <n v="114372"/>
    <n v="1.3"/>
    <n v="14376"/>
    <n v="6720000"/>
    <n v="223000000"/>
    <n v="59"/>
    <n v="5.3"/>
    <s v="Wednesday"/>
    <x v="6"/>
    <n v="28046.744574290486"/>
    <x v="1"/>
    <n v="1.7019642857142858E-2"/>
  </r>
  <r>
    <n v="465"/>
    <x v="463"/>
    <x v="0"/>
    <x v="1"/>
    <s v="Tekken 7"/>
    <s v="Tekken 7: Fated Retribution"/>
    <n v="5.3"/>
    <n v="7850"/>
    <n v="81677"/>
    <n v="1"/>
    <n v="1972"/>
    <n v="260000"/>
    <n v="29000000"/>
    <n v="6"/>
    <n v="0.8"/>
    <s v="Saturday"/>
    <x v="1"/>
    <n v="7910.7505070993911"/>
    <x v="1"/>
    <n v="0.31414230769230767"/>
  </r>
  <r>
    <n v="466"/>
    <x v="464"/>
    <x v="0"/>
    <x v="0"/>
    <s v="VALORANT"/>
    <s v="Counter-Strike"/>
    <n v="6.2"/>
    <n v="1540"/>
    <n v="2920"/>
    <n v="1"/>
    <n v="3582"/>
    <n v="98100"/>
    <n v="196000"/>
    <n v="5"/>
    <n v="1.7"/>
    <s v="Sunday"/>
    <x v="1"/>
    <n v="1643.21608040201"/>
    <x v="1"/>
    <n v="2.9765545361875638E-2"/>
  </r>
  <r>
    <n v="467"/>
    <x v="465"/>
    <x v="0"/>
    <x v="0"/>
    <s v="World of Warcraft"/>
    <s v="New World"/>
    <n v="7.4"/>
    <n v="2350"/>
    <n v="22839"/>
    <n v="1"/>
    <n v="10588"/>
    <n v="348000"/>
    <n v="33299999"/>
    <n v="16"/>
    <n v="3.6"/>
    <s v="Wednesday"/>
    <x v="6"/>
    <n v="1972.0438231960709"/>
    <x v="1"/>
    <n v="6.5629310344827579E-2"/>
  </r>
  <r>
    <n v="468"/>
    <x v="466"/>
    <x v="4"/>
    <x v="0"/>
    <s v="Slots"/>
    <m/>
    <n v="13.5"/>
    <n v="40"/>
    <n v="0"/>
    <n v="1"/>
    <n v="400"/>
    <n v="4"/>
    <n v="0"/>
    <n v="1"/>
    <n v="1.1000000000000001"/>
    <s v="Wednesday"/>
    <x v="5"/>
    <n v="0.6"/>
    <x v="1"/>
    <n v="0"/>
  </r>
  <r>
    <n v="469"/>
    <x v="467"/>
    <x v="0"/>
    <x v="0"/>
    <s v="War Thunder"/>
    <m/>
    <n v="4.3"/>
    <n v="2432"/>
    <n v="0"/>
    <n v="1"/>
    <n v="2220"/>
    <n v="129000"/>
    <n v="0"/>
    <n v="1"/>
    <n v="0.8"/>
    <s v="Sunday"/>
    <x v="0"/>
    <n v="3486.4864864864867"/>
    <x v="1"/>
    <n v="0"/>
  </r>
  <r>
    <n v="470"/>
    <x v="468"/>
    <x v="7"/>
    <x v="0"/>
    <s v="League of Legends"/>
    <s v="Virtual Casino"/>
    <n v="7.6"/>
    <n v="3560"/>
    <n v="7335"/>
    <n v="1.4"/>
    <n v="8278"/>
    <n v="452000"/>
    <n v="9920000"/>
    <n v="44"/>
    <n v="2.8"/>
    <s v="Thursday"/>
    <x v="2"/>
    <n v="3276.1536603044215"/>
    <x v="1"/>
    <n v="1.6227876106194691E-2"/>
  </r>
  <r>
    <n v="471"/>
    <x v="469"/>
    <x v="0"/>
    <x v="0"/>
    <s v="Fortnite"/>
    <s v="VALORANT"/>
    <n v="4.2"/>
    <n v="719"/>
    <n v="1018"/>
    <n v="1.2"/>
    <n v="3904"/>
    <n v="6840000"/>
    <n v="96900000"/>
    <n v="72"/>
    <n v="2.8"/>
    <s v="Friday"/>
    <x v="0"/>
    <n v="105122.95081967214"/>
    <x v="1"/>
    <n v="1.4883040935672514E-4"/>
  </r>
  <r>
    <n v="472"/>
    <x v="470"/>
    <x v="4"/>
    <x v="0"/>
    <s v="Slots"/>
    <s v="Casino"/>
    <n v="10.8"/>
    <n v="60"/>
    <n v="0"/>
    <n v="1.5"/>
    <n v="430"/>
    <n v="12"/>
    <n v="0"/>
    <n v="2"/>
    <n v="2"/>
    <s v="Monday"/>
    <x v="4"/>
    <n v="1.6744186046511627"/>
    <x v="1"/>
    <n v="0"/>
  </r>
  <r>
    <n v="473"/>
    <x v="471"/>
    <x v="0"/>
    <x v="0"/>
    <s v="Just Chatting"/>
    <s v="Pools Hot Tubs and Beaches"/>
    <n v="4.8"/>
    <n v="5980"/>
    <n v="9060"/>
    <n v="1.5"/>
    <n v="2831"/>
    <n v="346000"/>
    <n v="524000"/>
    <n v="39"/>
    <n v="4"/>
    <s v="Saturday"/>
    <x v="0"/>
    <n v="7333.0978452843519"/>
    <x v="1"/>
    <n v="2.6184971098265897E-2"/>
  </r>
  <r>
    <n v="474"/>
    <x v="472"/>
    <x v="0"/>
    <x v="1"/>
    <s v="PUBG: BATTLEGROUNDS"/>
    <s v="NEW STATE MOBILE"/>
    <n v="5.6"/>
    <n v="1361"/>
    <n v="126506"/>
    <n v="1"/>
    <n v="392"/>
    <n v="1130000"/>
    <n v="103000000"/>
    <n v="2"/>
    <n v="1.7"/>
    <s v="Saturday"/>
    <x v="6"/>
    <n v="172959.18367346938"/>
    <x v="1"/>
    <n v="0.11195221238938054"/>
  </r>
  <r>
    <n v="475"/>
    <x v="473"/>
    <x v="1"/>
    <x v="0"/>
    <s v="Sports"/>
    <s v="Just Chatting"/>
    <n v="3.8"/>
    <n v="2250"/>
    <n v="7771"/>
    <n v="1.2"/>
    <n v="2756"/>
    <n v="177000"/>
    <n v="6090000"/>
    <n v="18"/>
    <n v="4.0999999999999996"/>
    <s v="Monday"/>
    <x v="4"/>
    <n v="3853.4107402031932"/>
    <x v="1"/>
    <n v="4.3903954802259886E-2"/>
  </r>
  <r>
    <n v="476"/>
    <x v="474"/>
    <x v="13"/>
    <x v="0"/>
    <s v="Grand Theft Auto V"/>
    <s v="PUBG: BATTLEGROUNDS"/>
    <n v="7.1"/>
    <n v="4610"/>
    <n v="4605"/>
    <n v="1.8"/>
    <n v="6763"/>
    <n v="490000"/>
    <n v="5030000"/>
    <n v="87"/>
    <n v="2.6"/>
    <s v="Tuesday"/>
    <x v="4"/>
    <n v="4347.1832027206856"/>
    <x v="1"/>
    <n v="9.3979591836734697E-3"/>
  </r>
  <r>
    <n v="477"/>
    <x v="475"/>
    <x v="0"/>
    <x v="0"/>
    <s v="DARK SOULS III"/>
    <s v="Dark Souls"/>
    <n v="5.6"/>
    <n v="1350"/>
    <n v="8904"/>
    <n v="2"/>
    <n v="13627"/>
    <n v="342000"/>
    <n v="21100000"/>
    <n v="129"/>
    <n v="6.2"/>
    <s v="Monday"/>
    <x v="2"/>
    <n v="1505.8340060174653"/>
    <x v="1"/>
    <n v="2.6035087719298244E-2"/>
  </r>
  <r>
    <n v="478"/>
    <x v="476"/>
    <x v="0"/>
    <x v="0"/>
    <s v="VALORANT"/>
    <s v="Counter-Strike"/>
    <n v="3.4"/>
    <n v="7590"/>
    <n v="4036"/>
    <n v="1.2"/>
    <n v="2921"/>
    <n v="643000"/>
    <n v="3720000"/>
    <n v="27"/>
    <n v="2.5"/>
    <s v="Friday"/>
    <x v="2"/>
    <n v="13207.805546045876"/>
    <x v="1"/>
    <n v="6.2768273716951786E-3"/>
  </r>
  <r>
    <n v="479"/>
    <x v="477"/>
    <x v="4"/>
    <x v="0"/>
    <s v="Minecraft"/>
    <s v="Just Chatting"/>
    <n v="7.7"/>
    <n v="1460"/>
    <n v="31471"/>
    <n v="2.2000000000000002"/>
    <n v="16421"/>
    <n v="428000"/>
    <n v="80600000"/>
    <n v="962"/>
    <n v="5.4"/>
    <s v="Sunday"/>
    <x v="1"/>
    <n v="1563.8511661896353"/>
    <x v="0"/>
    <n v="7.35303738317757E-2"/>
  </r>
  <r>
    <n v="480"/>
    <x v="478"/>
    <x v="2"/>
    <x v="0"/>
    <s v="Just Chatting"/>
    <s v="Rocket League"/>
    <n v="3.5"/>
    <n v="9310"/>
    <n v="120"/>
    <n v="2"/>
    <n v="1685"/>
    <n v="468000"/>
    <n v="6100"/>
    <n v="166"/>
    <n v="2.2999999999999998"/>
    <s v="Tuesday"/>
    <x v="4"/>
    <n v="16664.688427299705"/>
    <x v="1"/>
    <n v="2.5641025641025641E-4"/>
  </r>
  <r>
    <n v="481"/>
    <x v="479"/>
    <x v="0"/>
    <x v="0"/>
    <s v="Just Chatting"/>
    <s v="World of Warcraft"/>
    <n v="5"/>
    <n v="1119"/>
    <n v="3322"/>
    <n v="1.7"/>
    <n v="6127"/>
    <n v="1360000"/>
    <n v="4110000"/>
    <n v="175"/>
    <n v="3.1"/>
    <s v="Friday"/>
    <x v="1"/>
    <n v="13318.100212175617"/>
    <x v="1"/>
    <n v="2.4426470588235294E-3"/>
  </r>
  <r>
    <n v="482"/>
    <x v="480"/>
    <x v="0"/>
    <x v="0"/>
    <s v="Just Chatting"/>
    <s v="Street Fighter V"/>
    <n v="3.2"/>
    <n v="950"/>
    <n v="2053"/>
    <n v="1.6"/>
    <n v="5484"/>
    <n v="155000"/>
    <n v="3300000"/>
    <n v="129"/>
    <n v="4.3"/>
    <s v="Wednesday"/>
    <x v="3"/>
    <n v="1695.8424507658642"/>
    <x v="1"/>
    <n v="1.324516129032258E-2"/>
  </r>
  <r>
    <n v="483"/>
    <x v="481"/>
    <x v="3"/>
    <x v="0"/>
    <s v="Just Chatting"/>
    <s v="League of Legends"/>
    <n v="5.8"/>
    <n v="9830"/>
    <n v="9032"/>
    <n v="2.2999999999999998"/>
    <n v="6272"/>
    <n v="965000"/>
    <n v="8860000"/>
    <n v="90"/>
    <n v="3.8"/>
    <s v="Saturday"/>
    <x v="0"/>
    <n v="9231.5051020408173"/>
    <x v="0"/>
    <n v="9.359585492227979E-3"/>
  </r>
  <r>
    <n v="484"/>
    <x v="482"/>
    <x v="2"/>
    <x v="0"/>
    <s v="Grand Theft Auto V"/>
    <s v="Just Chatting"/>
    <n v="5.3"/>
    <n v="2420"/>
    <n v="45"/>
    <n v="1.9"/>
    <n v="8744"/>
    <n v="364000"/>
    <n v="6770000"/>
    <n v="159"/>
    <n v="5.5"/>
    <s v="Thursday"/>
    <x v="5"/>
    <n v="2497.7127172918576"/>
    <x v="1"/>
    <n v="1.2362637362637363E-4"/>
  </r>
  <r>
    <n v="485"/>
    <x v="483"/>
    <x v="5"/>
    <x v="0"/>
    <s v="League of Legends"/>
    <s v="Variety"/>
    <n v="7"/>
    <n v="1080"/>
    <n v="4895"/>
    <n v="1.2"/>
    <n v="8877"/>
    <n v="147000"/>
    <n v="6910000"/>
    <n v="83"/>
    <n v="3.2"/>
    <s v="Friday"/>
    <x v="1"/>
    <n v="993.5789117945252"/>
    <x v="1"/>
    <n v="3.3299319727891158E-2"/>
  </r>
  <r>
    <n v="486"/>
    <x v="484"/>
    <x v="4"/>
    <x v="0"/>
    <s v="Just Chatting"/>
    <s v="ROBLOX"/>
    <n v="2.6"/>
    <n v="6090"/>
    <n v="418"/>
    <n v="1.8"/>
    <n v="1978"/>
    <n v="461000"/>
    <n v="3160000"/>
    <n v="216"/>
    <n v="3.5"/>
    <s v="Thursday"/>
    <x v="4"/>
    <n v="13983.822042467138"/>
    <x v="1"/>
    <n v="9.0672451193058573E-4"/>
  </r>
  <r>
    <n v="487"/>
    <x v="485"/>
    <x v="0"/>
    <x v="0"/>
    <s v="Minecraft"/>
    <s v="Rocket League"/>
    <n v="4.3"/>
    <n v="3789"/>
    <n v="45321"/>
    <n v="1.2"/>
    <n v="5649"/>
    <n v="4350000"/>
    <n v="52000000"/>
    <n v="66"/>
    <n v="3.7"/>
    <s v="Monday"/>
    <x v="2"/>
    <n v="46202.86776420605"/>
    <x v="1"/>
    <n v="1.0418620689655173E-2"/>
  </r>
  <r>
    <n v="488"/>
    <x v="486"/>
    <x v="1"/>
    <x v="0"/>
    <s v="Grand Theft Auto V"/>
    <s v="VALORANT"/>
    <n v="4"/>
    <n v="5300"/>
    <n v="5414"/>
    <n v="1.9"/>
    <n v="3803"/>
    <n v="459000"/>
    <n v="4690000"/>
    <n v="79"/>
    <n v="4.3"/>
    <s v="Wednesday"/>
    <x v="2"/>
    <n v="7241.6513278990269"/>
    <x v="1"/>
    <n v="1.179520697167756E-2"/>
  </r>
  <r>
    <n v="489"/>
    <x v="487"/>
    <x v="0"/>
    <x v="0"/>
    <s v="Minecraft"/>
    <s v="S.T.A.L.K.E.R.: Call of Pripyat"/>
    <n v="3.6"/>
    <n v="1120"/>
    <n v="6087"/>
    <n v="1.3"/>
    <n v="5872"/>
    <n v="162000"/>
    <n v="8039999"/>
    <n v="943"/>
    <n v="4.0999999999999996"/>
    <s v="Tuesday"/>
    <x v="2"/>
    <n v="1655.3133514986378"/>
    <x v="1"/>
    <n v="3.7574074074074072E-2"/>
  </r>
  <r>
    <n v="490"/>
    <x v="488"/>
    <x v="0"/>
    <x v="0"/>
    <s v="League of Legends"/>
    <m/>
    <n v="5.8"/>
    <n v="1408"/>
    <n v="48679"/>
    <n v="1"/>
    <n v="6430"/>
    <n v="158000"/>
    <n v="5420000"/>
    <n v="1"/>
    <n v="0.5"/>
    <s v="Thursday"/>
    <x v="1"/>
    <n v="1474.3390357698288"/>
    <x v="1"/>
    <n v="0.30809493670886073"/>
  </r>
  <r>
    <n v="491"/>
    <x v="489"/>
    <x v="3"/>
    <x v="0"/>
    <s v="Just Chatting"/>
    <s v="IRL"/>
    <n v="4.2"/>
    <n v="2130"/>
    <n v="1066"/>
    <n v="1.1000000000000001"/>
    <n v="2756"/>
    <n v="141000"/>
    <n v="707000"/>
    <n v="27"/>
    <n v="3.1"/>
    <s v="Thursday"/>
    <x v="1"/>
    <n v="3069.6661828737301"/>
    <x v="1"/>
    <n v="7.5602836879432624E-3"/>
  </r>
  <r>
    <n v="492"/>
    <x v="490"/>
    <x v="1"/>
    <x v="0"/>
    <s v="Just Chatting"/>
    <s v="League of Legends"/>
    <n v="6"/>
    <n v="2890"/>
    <n v="21602"/>
    <n v="1.9"/>
    <n v="10343"/>
    <n v="467000"/>
    <n v="34700000"/>
    <n v="503"/>
    <n v="4.5"/>
    <s v="Thursday"/>
    <x v="1"/>
    <n v="2709.0786038866868"/>
    <x v="1"/>
    <n v="4.6256959314775158E-2"/>
  </r>
  <r>
    <n v="493"/>
    <x v="491"/>
    <x v="4"/>
    <x v="0"/>
    <s v="Casino"/>
    <m/>
    <n v="13.9"/>
    <n v="20"/>
    <n v="0"/>
    <n v="1"/>
    <n v="420"/>
    <n v="2"/>
    <n v="0"/>
    <n v="1"/>
    <n v="0.7"/>
    <s v="Monday"/>
    <x v="1"/>
    <n v="0.2857142857142857"/>
    <x v="1"/>
    <n v="0"/>
  </r>
  <r>
    <n v="494"/>
    <x v="492"/>
    <x v="4"/>
    <x v="0"/>
    <s v="Counter-Strike"/>
    <s v="Counter-Strike 2 Limited Test"/>
    <n v="8"/>
    <n v="8820"/>
    <n v="0"/>
    <n v="1"/>
    <n v="1187"/>
    <n v="131000"/>
    <n v="0"/>
    <n v="2"/>
    <n v="2.6"/>
    <s v="Friday"/>
    <x v="0"/>
    <n v="6621.7354675652905"/>
    <x v="1"/>
    <n v="0"/>
  </r>
  <r>
    <n v="495"/>
    <x v="493"/>
    <x v="0"/>
    <x v="0"/>
    <s v="Teamfight Tactics"/>
    <s v="Chrono Trigger"/>
    <n v="6.1"/>
    <n v="5230"/>
    <n v="5209"/>
    <n v="1.1000000000000001"/>
    <n v="3205"/>
    <n v="273000"/>
    <n v="2720000"/>
    <n v="29"/>
    <n v="2.1"/>
    <s v="Sunday"/>
    <x v="1"/>
    <n v="5110.7644305772237"/>
    <x v="1"/>
    <n v="1.908058608058608E-2"/>
  </r>
  <r>
    <n v="496"/>
    <x v="494"/>
    <x v="7"/>
    <x v="0"/>
    <s v="Virtual Casino"/>
    <m/>
    <n v="21.1"/>
    <n v="1350"/>
    <n v="0"/>
    <n v="1"/>
    <n v="1900"/>
    <n v="2200"/>
    <n v="0"/>
    <n v="1"/>
    <n v="3.2"/>
    <s v="Tuesday"/>
    <x v="4"/>
    <n v="69.473684210526315"/>
    <x v="1"/>
    <n v="0"/>
  </r>
  <r>
    <n v="497"/>
    <x v="495"/>
    <x v="13"/>
    <x v="0"/>
    <s v="Dota 2"/>
    <s v="Just Chatting"/>
    <n v="6.2"/>
    <n v="3440"/>
    <n v="4736"/>
    <n v="2"/>
    <n v="5347"/>
    <n v="310000"/>
    <n v="4270000"/>
    <n v="181"/>
    <n v="2.5"/>
    <s v="Tuesday"/>
    <x v="1"/>
    <n v="3478.5861230596597"/>
    <x v="1"/>
    <n v="1.5277419354838709E-2"/>
  </r>
  <r>
    <n v="498"/>
    <x v="496"/>
    <x v="0"/>
    <x v="0"/>
    <s v="Hearthstone"/>
    <s v="Teamfight Tactics"/>
    <n v="5.6"/>
    <n v="2320"/>
    <n v="30305"/>
    <n v="1.3"/>
    <n v="11781"/>
    <n v="642000"/>
    <n v="70600000"/>
    <n v="99"/>
    <n v="5.3"/>
    <s v="Wednesday"/>
    <x v="1"/>
    <n v="3269.6715049656227"/>
    <x v="1"/>
    <n v="4.7204049844236762E-2"/>
  </r>
  <r>
    <n v="499"/>
    <x v="497"/>
    <x v="0"/>
    <x v="0"/>
    <s v="Just Chatting"/>
    <s v="IRL"/>
    <n v="5.0999999999999996"/>
    <n v="9180"/>
    <n v="13147"/>
    <n v="1.2"/>
    <n v="3152"/>
    <n v="563000"/>
    <n v="8060000"/>
    <n v="24"/>
    <n v="1.8"/>
    <s v="Sunday"/>
    <x v="6"/>
    <n v="10717.005076142132"/>
    <x v="1"/>
    <n v="2.3351687388987567E-2"/>
  </r>
  <r>
    <n v="500"/>
    <x v="498"/>
    <x v="4"/>
    <x v="0"/>
    <s v="Casino"/>
    <m/>
    <n v="4.0999999999999996"/>
    <n v="20"/>
    <n v="0"/>
    <n v="1"/>
    <n v="80"/>
    <n v="10500"/>
    <n v="0"/>
    <n v="1"/>
    <n v="1.6"/>
    <s v="Saturday"/>
    <x v="0"/>
    <n v="7875"/>
    <x v="1"/>
    <n v="0"/>
  </r>
  <r>
    <n v="501"/>
    <x v="499"/>
    <x v="0"/>
    <x v="0"/>
    <s v="Albion Online"/>
    <s v="Lost Ark"/>
    <n v="8"/>
    <n v="1450"/>
    <n v="3220"/>
    <n v="1"/>
    <n v="7766"/>
    <n v="136000"/>
    <n v="303000"/>
    <n v="19"/>
    <n v="5.6"/>
    <s v="Monday"/>
    <x v="4"/>
    <n v="1050.7339685809941"/>
    <x v="1"/>
    <n v="2.3676470588235295E-2"/>
  </r>
  <r>
    <n v="502"/>
    <x v="500"/>
    <x v="2"/>
    <x v="0"/>
    <s v="Just Chatting"/>
    <s v="Fortnite"/>
    <n v="7.1"/>
    <n v="3820"/>
    <n v="29268"/>
    <n v="1.8"/>
    <n v="12396"/>
    <n v="793000"/>
    <n v="60700000"/>
    <n v="221"/>
    <n v="4.5"/>
    <s v="Tuesday"/>
    <x v="0"/>
    <n v="3838.3349467570183"/>
    <x v="1"/>
    <n v="3.6907944514501891E-2"/>
  </r>
  <r>
    <n v="503"/>
    <x v="501"/>
    <x v="2"/>
    <x v="0"/>
    <s v="The Binding of Isaac: Repentance"/>
    <s v="The Binding of Isaac: Repentance"/>
    <n v="5"/>
    <n v="530"/>
    <n v="3126"/>
    <n v="1.5"/>
    <n v="1151"/>
    <n v="135000"/>
    <n v="7750000"/>
    <n v="532"/>
    <n v="5.9"/>
    <s v="Wednesday"/>
    <x v="1"/>
    <n v="7037.3588184187665"/>
    <x v="1"/>
    <n v="2.3155555555555554E-2"/>
  </r>
  <r>
    <n v="504"/>
    <x v="502"/>
    <x v="0"/>
    <x v="0"/>
    <s v="Just Chatting"/>
    <s v="Hearthstone"/>
    <n v="13.3"/>
    <n v="460"/>
    <n v="27589"/>
    <n v="3.2"/>
    <n v="34556"/>
    <n v="150000"/>
    <n v="80800000"/>
    <n v="2980"/>
    <n v="6.5"/>
    <s v="Friday"/>
    <x v="2"/>
    <n v="260.44681097349235"/>
    <x v="0"/>
    <n v="0.18392666666666665"/>
  </r>
  <r>
    <n v="505"/>
    <x v="503"/>
    <x v="4"/>
    <x v="0"/>
    <s v="Just Chatting"/>
    <s v="Games + Demos"/>
    <n v="6"/>
    <n v="1510"/>
    <n v="30254"/>
    <n v="2.5"/>
    <n v="10869"/>
    <n v="384000"/>
    <n v="59200000"/>
    <n v="1612"/>
    <n v="4.5"/>
    <s v="Saturday"/>
    <x v="0"/>
    <n v="2119.7902290919128"/>
    <x v="0"/>
    <n v="7.8786458333333337E-2"/>
  </r>
  <r>
    <n v="506"/>
    <x v="504"/>
    <x v="0"/>
    <x v="0"/>
    <s v="Just Chatting"/>
    <s v="League of Legends"/>
    <n v="5.0999999999999996"/>
    <n v="4390"/>
    <n v="3340"/>
    <n v="1.6"/>
    <n v="4125"/>
    <n v="372000"/>
    <n v="283000"/>
    <n v="91"/>
    <n v="3"/>
    <s v="Tuesday"/>
    <x v="1"/>
    <n v="5410.909090909091"/>
    <x v="1"/>
    <n v="8.9784946236559134E-3"/>
  </r>
  <r>
    <n v="507"/>
    <x v="505"/>
    <x v="0"/>
    <x v="0"/>
    <s v="Call of Duty: Warzone"/>
    <s v="Halo 5: Guardians"/>
    <n v="4.2"/>
    <n v="4050"/>
    <n v="2361"/>
    <n v="1.3"/>
    <n v="5187"/>
    <n v="473000"/>
    <n v="2760000"/>
    <n v="49"/>
    <n v="3.2"/>
    <s v="Saturday"/>
    <x v="2"/>
    <n v="5471.3707345286293"/>
    <x v="1"/>
    <n v="4.9915433403805495E-3"/>
  </r>
  <r>
    <n v="508"/>
    <x v="506"/>
    <x v="4"/>
    <x v="0"/>
    <s v="Just Chatting"/>
    <s v="Dota 2"/>
    <n v="2.7"/>
    <n v="3920"/>
    <n v="268"/>
    <n v="1.8"/>
    <n v="3108"/>
    <n v="455000"/>
    <n v="3110000"/>
    <n v="97"/>
    <n v="5.0999999999999996"/>
    <s v="Friday"/>
    <x v="2"/>
    <n v="8783.7837837837851"/>
    <x v="1"/>
    <n v="5.8901098901098905E-4"/>
  </r>
  <r>
    <n v="509"/>
    <x v="507"/>
    <x v="2"/>
    <x v="0"/>
    <s v="VALORANT"/>
    <s v="Just Chatting"/>
    <n v="3.8"/>
    <n v="8040"/>
    <n v="80"/>
    <n v="1.5"/>
    <n v="2309"/>
    <n v="440000"/>
    <n v="4500"/>
    <n v="46"/>
    <n v="3.7"/>
    <s v="Sunday"/>
    <x v="1"/>
    <n v="11433.521004763967"/>
    <x v="1"/>
    <n v="1.8181818181818181E-4"/>
  </r>
  <r>
    <n v="510"/>
    <x v="508"/>
    <x v="3"/>
    <x v="0"/>
    <s v="Just Chatting"/>
    <s v="Special Events"/>
    <n v="5.4"/>
    <n v="2780"/>
    <n v="27141"/>
    <n v="1.7"/>
    <n v="7676"/>
    <n v="796000"/>
    <n v="59300000"/>
    <n v="501"/>
    <n v="3.6"/>
    <s v="Thursday"/>
    <x v="0"/>
    <n v="6221.9906201146432"/>
    <x v="1"/>
    <n v="3.4096733668341705E-2"/>
  </r>
  <r>
    <n v="511"/>
    <x v="509"/>
    <x v="0"/>
    <x v="0"/>
    <s v="Dungeons &amp; Dragons"/>
    <s v="Talk Shows &amp; Podcasts"/>
    <n v="4.3"/>
    <n v="1818"/>
    <n v="37121"/>
    <n v="1"/>
    <n v="2942"/>
    <n v="1350000"/>
    <n v="32200000"/>
    <n v="55"/>
    <n v="1.8"/>
    <s v="Friday"/>
    <x v="3"/>
    <n v="27532.290958531612"/>
    <x v="1"/>
    <n v="2.7497037037037039E-2"/>
  </r>
  <r>
    <n v="512"/>
    <x v="510"/>
    <x v="0"/>
    <x v="1"/>
    <s v="Tom Clancy's Rainbow Six Siege"/>
    <s v="Variety"/>
    <n v="7.3"/>
    <n v="154"/>
    <n v="19486"/>
    <n v="1"/>
    <n v="1481"/>
    <n v="308000"/>
    <n v="3860000"/>
    <n v="2"/>
    <n v="0.7"/>
    <s v="Saturday"/>
    <x v="4"/>
    <n v="12478.055367994599"/>
    <x v="1"/>
    <n v="6.3266233766233762E-2"/>
  </r>
  <r>
    <n v="513"/>
    <x v="511"/>
    <x v="4"/>
    <x v="0"/>
    <s v="Casino"/>
    <m/>
    <n v="5.8"/>
    <n v="70"/>
    <n v="0"/>
    <n v="1"/>
    <n v="110"/>
    <n v="7"/>
    <n v="0"/>
    <n v="1"/>
    <n v="0.7"/>
    <s v="Monday"/>
    <x v="4"/>
    <n v="3.8181818181818183"/>
    <x v="1"/>
    <n v="0"/>
  </r>
  <r>
    <n v="514"/>
    <x v="512"/>
    <x v="0"/>
    <x v="0"/>
    <s v="Just Chatting"/>
    <s v="Talk Shows &amp; Podcasts"/>
    <n v="2.4"/>
    <n v="1389"/>
    <n v="15456"/>
    <n v="1"/>
    <n v="1202"/>
    <n v="668000"/>
    <n v="7450000"/>
    <n v="10"/>
    <n v="2"/>
    <s v="Friday"/>
    <x v="3"/>
    <n v="33344.425956738763"/>
    <x v="1"/>
    <n v="2.3137724550898204E-2"/>
  </r>
  <r>
    <n v="515"/>
    <x v="513"/>
    <x v="1"/>
    <x v="0"/>
    <s v="Just Chatting"/>
    <s v="Special Events"/>
    <n v="4.8"/>
    <n v="6280"/>
    <n v="8020"/>
    <n v="2"/>
    <n v="2422"/>
    <n v="316000"/>
    <n v="396000"/>
    <n v="249"/>
    <n v="4.4000000000000004"/>
    <s v="Thursday"/>
    <x v="5"/>
    <n v="7828.2411230388107"/>
    <x v="1"/>
    <n v="2.5379746835443039E-2"/>
  </r>
  <r>
    <n v="516"/>
    <x v="514"/>
    <x v="0"/>
    <x v="0"/>
    <s v="Just Chatting"/>
    <s v="Albion Online"/>
    <n v="22.8"/>
    <n v="2320"/>
    <n v="147"/>
    <n v="1.4"/>
    <n v="20429"/>
    <n v="131000"/>
    <n v="733000"/>
    <n v="45"/>
    <n v="6.5"/>
    <s v="Monday"/>
    <x v="0"/>
    <n v="384.7471731362279"/>
    <x v="1"/>
    <n v="1.1221374045801526E-3"/>
  </r>
  <r>
    <n v="517"/>
    <x v="515"/>
    <x v="1"/>
    <x v="0"/>
    <s v="Sports"/>
    <s v="Sports"/>
    <n v="5.7"/>
    <n v="4030"/>
    <n v="7318"/>
    <n v="1"/>
    <n v="711"/>
    <n v="979000"/>
    <n v="17800000"/>
    <n v="7"/>
    <n v="4.3"/>
    <s v="Tuesday"/>
    <x v="1"/>
    <n v="82616.033755274271"/>
    <x v="1"/>
    <n v="7.4749744637385091E-3"/>
  </r>
  <r>
    <n v="518"/>
    <x v="516"/>
    <x v="1"/>
    <x v="0"/>
    <s v="Poker"/>
    <m/>
    <n v="4.5"/>
    <n v="5640"/>
    <n v="8676"/>
    <n v="1"/>
    <n v="101"/>
    <n v="113000"/>
    <n v="1720000"/>
    <n v="1"/>
    <n v="0.7"/>
    <s v="Sunday"/>
    <x v="1"/>
    <n v="67128.712871287134"/>
    <x v="1"/>
    <n v="7.6778761061946907E-2"/>
  </r>
  <r>
    <n v="519"/>
    <x v="517"/>
    <x v="4"/>
    <x v="0"/>
    <s v="Casino"/>
    <m/>
    <n v="6.2"/>
    <n v="20"/>
    <n v="0"/>
    <n v="1"/>
    <n v="120"/>
    <n v="579"/>
    <n v="0"/>
    <n v="1"/>
    <n v="0.5"/>
    <s v="Friday"/>
    <x v="3"/>
    <n v="289.5"/>
    <x v="1"/>
    <n v="0"/>
  </r>
  <r>
    <n v="520"/>
    <x v="518"/>
    <x v="4"/>
    <x v="0"/>
    <s v="Just Chatting"/>
    <s v="Grand Theft Auto V"/>
    <n v="2.6"/>
    <n v="1608"/>
    <n v="10"/>
    <n v="1.2"/>
    <n v="9580"/>
    <n v="608000"/>
    <n v="287"/>
    <n v="24"/>
    <n v="3.1"/>
    <s v="Thursday"/>
    <x v="0"/>
    <n v="3807.9331941544888"/>
    <x v="1"/>
    <n v="1.6447368421052631E-5"/>
  </r>
  <r>
    <n v="521"/>
    <x v="519"/>
    <x v="12"/>
    <x v="0"/>
    <s v="Just Chatting"/>
    <s v="Pools Hot Tubs and Beaches"/>
    <n v="5.3"/>
    <n v="1653"/>
    <n v="0"/>
    <n v="1"/>
    <n v="102"/>
    <n v="332000"/>
    <n v="0"/>
    <n v="10"/>
    <n v="3.7"/>
    <s v="Thursday"/>
    <x v="0"/>
    <n v="195294.11764705883"/>
    <x v="1"/>
    <n v="0"/>
  </r>
  <r>
    <n v="522"/>
    <x v="520"/>
    <x v="0"/>
    <x v="0"/>
    <s v="League of Legends"/>
    <s v="VALORANT"/>
    <n v="6.2"/>
    <n v="4720"/>
    <n v="19858"/>
    <n v="1.1000000000000001"/>
    <n v="8727"/>
    <n v="709000"/>
    <n v="29800000"/>
    <n v="61"/>
    <n v="4.0999999999999996"/>
    <s v="Monday"/>
    <x v="1"/>
    <n v="4874.5273289790312"/>
    <x v="1"/>
    <n v="2.8008462623413256E-2"/>
  </r>
  <r>
    <n v="523"/>
    <x v="521"/>
    <x v="0"/>
    <x v="0"/>
    <s v="Call of Duty: Warzone"/>
    <s v="Call of Duty: Black Ops 4"/>
    <n v="7.3"/>
    <n v="2110"/>
    <n v="2111"/>
    <n v="1.1000000000000001"/>
    <n v="17821"/>
    <n v="568000"/>
    <n v="5390000"/>
    <n v="37"/>
    <n v="6.2"/>
    <s v="Wednesday"/>
    <x v="1"/>
    <n v="1912.3505976095619"/>
    <x v="1"/>
    <n v="3.7165492957746478E-3"/>
  </r>
  <r>
    <n v="524"/>
    <x v="522"/>
    <x v="4"/>
    <x v="0"/>
    <s v="Casino"/>
    <m/>
    <n v="10.4"/>
    <n v="40"/>
    <n v="0"/>
    <n v="1"/>
    <n v="210"/>
    <n v="4"/>
    <n v="0"/>
    <n v="1"/>
    <n v="0.6"/>
    <s v="Saturday"/>
    <x v="0"/>
    <n v="1.1428571428571428"/>
    <x v="1"/>
    <n v="0"/>
  </r>
  <r>
    <n v="525"/>
    <x v="523"/>
    <x v="7"/>
    <x v="0"/>
    <s v="Virtual Casino"/>
    <m/>
    <n v="18.5"/>
    <n v="820"/>
    <n v="0"/>
    <n v="1"/>
    <n v="2220"/>
    <n v="2300"/>
    <n v="0"/>
    <n v="1"/>
    <n v="7"/>
    <s v="Wednesday"/>
    <x v="0"/>
    <n v="62.162162162162161"/>
    <x v="1"/>
    <n v="0"/>
  </r>
  <r>
    <n v="526"/>
    <x v="524"/>
    <x v="13"/>
    <x v="0"/>
    <s v="Grand Theft Auto V"/>
    <s v="Rust"/>
    <n v="7.1"/>
    <n v="4530"/>
    <n v="25615"/>
    <n v="1.7"/>
    <n v="12741"/>
    <n v="827000"/>
    <n v="46400000"/>
    <n v="242"/>
    <n v="4.9000000000000004"/>
    <s v="Saturday"/>
    <x v="2"/>
    <n v="3894.5137744290087"/>
    <x v="1"/>
    <n v="3.0973397823458284E-2"/>
  </r>
  <r>
    <n v="527"/>
    <x v="525"/>
    <x v="0"/>
    <x v="0"/>
    <s v="VALORANT"/>
    <s v="Apex Legends"/>
    <n v="6.2"/>
    <n v="4440"/>
    <n v="6262"/>
    <n v="1.3"/>
    <n v="5852"/>
    <n v="504000"/>
    <n v="7110000"/>
    <n v="70"/>
    <n v="4.5999999999999996"/>
    <s v="Wednesday"/>
    <x v="0"/>
    <n v="5167.4641148325363"/>
    <x v="1"/>
    <n v="1.2424603174603175E-2"/>
  </r>
  <r>
    <n v="528"/>
    <x v="526"/>
    <x v="3"/>
    <x v="0"/>
    <s v="World of Warcraft"/>
    <s v="Rust"/>
    <n v="6"/>
    <n v="1250"/>
    <n v="6816"/>
    <n v="1.2"/>
    <n v="1121"/>
    <n v="214000"/>
    <n v="12000000"/>
    <n v="103"/>
    <n v="4.5999999999999996"/>
    <s v="Tuesday"/>
    <x v="1"/>
    <n v="11454.058876003568"/>
    <x v="1"/>
    <n v="3.1850467289719624E-2"/>
  </r>
  <r>
    <n v="529"/>
    <x v="527"/>
    <x v="4"/>
    <x v="0"/>
    <s v="Minecraft"/>
    <s v="Just Chatting"/>
    <n v="5.7"/>
    <n v="3290"/>
    <n v="8428"/>
    <n v="1.6"/>
    <n v="6828"/>
    <n v="419000"/>
    <n v="10700000"/>
    <n v="125"/>
    <n v="3.1"/>
    <s v="Sunday"/>
    <x v="1"/>
    <n v="3681.8980667838314"/>
    <x v="1"/>
    <n v="2.0114558472553699E-2"/>
  </r>
  <r>
    <n v="530"/>
    <x v="528"/>
    <x v="3"/>
    <x v="0"/>
    <s v="Sports"/>
    <s v="FIFA 23"/>
    <n v="2.5"/>
    <n v="4730"/>
    <n v="2368"/>
    <n v="1"/>
    <n v="4330"/>
    <n v="93200"/>
    <n v="431000"/>
    <n v="7"/>
    <n v="1.5"/>
    <s v="Saturday"/>
    <x v="4"/>
    <n v="1291.4549653579677"/>
    <x v="1"/>
    <n v="2.5407725321888411E-2"/>
  </r>
  <r>
    <n v="531"/>
    <x v="529"/>
    <x v="0"/>
    <x v="0"/>
    <s v="Hearthstone"/>
    <s v="Path of Exile"/>
    <n v="6.7"/>
    <n v="2400"/>
    <n v="4383"/>
    <n v="1.5"/>
    <n v="17281"/>
    <n v="1520000"/>
    <n v="264000000"/>
    <n v="244"/>
    <n v="6.5"/>
    <s v="Monday"/>
    <x v="5"/>
    <n v="5277.4723684971941"/>
    <x v="1"/>
    <n v="2.8835526315789473E-3"/>
  </r>
  <r>
    <n v="532"/>
    <x v="530"/>
    <x v="0"/>
    <x v="0"/>
    <s v="Fortnite"/>
    <s v="Variety"/>
    <n v="5.7"/>
    <n v="3860"/>
    <n v="2032"/>
    <n v="1"/>
    <n v="7639"/>
    <n v="544000"/>
    <n v="2860000"/>
    <n v="3"/>
    <n v="4.7"/>
    <s v="Saturday"/>
    <x v="1"/>
    <n v="4272.8105773006937"/>
    <x v="1"/>
    <n v="3.7352941176470589E-3"/>
  </r>
  <r>
    <n v="533"/>
    <x v="531"/>
    <x v="4"/>
    <x v="0"/>
    <s v="Casino"/>
    <m/>
    <n v="7.9"/>
    <n v="30"/>
    <n v="0"/>
    <n v="1"/>
    <n v="160"/>
    <n v="3"/>
    <n v="0"/>
    <n v="1"/>
    <n v="0.4"/>
    <s v="Wednesday"/>
    <x v="5"/>
    <n v="1.125"/>
    <x v="1"/>
    <n v="0"/>
  </r>
  <r>
    <n v="534"/>
    <x v="532"/>
    <x v="4"/>
    <x v="0"/>
    <s v="Casino"/>
    <m/>
    <n v="5.4"/>
    <n v="110"/>
    <n v="0"/>
    <n v="1"/>
    <n v="110"/>
    <n v="22"/>
    <n v="0"/>
    <n v="1"/>
    <n v="0.5"/>
    <s v="Saturday"/>
    <x v="1"/>
    <n v="12"/>
    <x v="1"/>
    <n v="0"/>
  </r>
  <r>
    <n v="535"/>
    <x v="533"/>
    <x v="5"/>
    <x v="0"/>
    <s v="Overwatch 2"/>
    <m/>
    <n v="4.9000000000000004"/>
    <n v="1015"/>
    <n v="0"/>
    <n v="1"/>
    <n v="2470"/>
    <n v="49900"/>
    <n v="0"/>
    <n v="1"/>
    <n v="0.8"/>
    <s v="Sunday"/>
    <x v="2"/>
    <n v="1212.1457489878544"/>
    <x v="1"/>
    <n v="0"/>
  </r>
  <r>
    <n v="536"/>
    <x v="534"/>
    <x v="0"/>
    <x v="0"/>
    <s v="Virtual Casino"/>
    <m/>
    <n v="7.1"/>
    <n v="1960"/>
    <n v="0"/>
    <n v="1"/>
    <n v="140"/>
    <n v="1300"/>
    <n v="0"/>
    <n v="1"/>
    <n v="0.5"/>
    <s v="Monday"/>
    <x v="2"/>
    <n v="557.14285714285711"/>
    <x v="1"/>
    <n v="0"/>
  </r>
  <r>
    <n v="537"/>
    <x v="535"/>
    <x v="5"/>
    <x v="0"/>
    <s v="Escape from Tarkov"/>
    <s v="Apex Legends"/>
    <n v="8"/>
    <n v="3820"/>
    <n v="1489"/>
    <n v="1.5"/>
    <n v="10217"/>
    <n v="501000"/>
    <n v="1950000"/>
    <n v="89"/>
    <n v="6.1"/>
    <s v="Friday"/>
    <x v="1"/>
    <n v="2942.1552314769501"/>
    <x v="1"/>
    <n v="2.9720558882235528E-3"/>
  </r>
  <r>
    <n v="538"/>
    <x v="536"/>
    <x v="7"/>
    <x v="1"/>
    <s v="League of Legends"/>
    <s v="Teamfight Tactics"/>
    <n v="4.5999999999999996"/>
    <n v="1033"/>
    <n v="125947"/>
    <n v="1"/>
    <n v="6151"/>
    <n v="1620000"/>
    <n v="233000000"/>
    <n v="5"/>
    <n v="3.4"/>
    <s v="Saturday"/>
    <x v="0"/>
    <n v="15802.308567712567"/>
    <x v="1"/>
    <n v="7.7745061728395057E-2"/>
  </r>
  <r>
    <n v="539"/>
    <x v="537"/>
    <x v="4"/>
    <x v="0"/>
    <s v="Casino"/>
    <m/>
    <n v="12.6"/>
    <n v="110"/>
    <n v="0"/>
    <n v="1"/>
    <n v="250"/>
    <n v="11"/>
    <n v="0"/>
    <n v="1"/>
    <n v="0.4"/>
    <s v="Thursday"/>
    <x v="3"/>
    <n v="2.6399999999999997"/>
    <x v="1"/>
    <n v="0"/>
  </r>
  <r>
    <n v="540"/>
    <x v="538"/>
    <x v="13"/>
    <x v="0"/>
    <s v="Grand Theft Auto V"/>
    <s v="Red Dead Redemption 2"/>
    <n v="4.3"/>
    <n v="5090"/>
    <n v="11742"/>
    <n v="1"/>
    <n v="3929"/>
    <n v="480000"/>
    <n v="11000000"/>
    <n v="16"/>
    <n v="5.4"/>
    <s v="Saturday"/>
    <x v="2"/>
    <n v="7330.1094426062609"/>
    <x v="1"/>
    <n v="2.4462500000000002E-2"/>
  </r>
  <r>
    <n v="541"/>
    <x v="539"/>
    <x v="4"/>
    <x v="0"/>
    <s v="Slots"/>
    <m/>
    <n v="6.4"/>
    <n v="20"/>
    <n v="0"/>
    <n v="1"/>
    <n v="130"/>
    <n v="2"/>
    <n v="0"/>
    <n v="1"/>
    <n v="0.7"/>
    <s v="Tuesday"/>
    <x v="4"/>
    <n v="0.92307692307692313"/>
    <x v="1"/>
    <n v="0"/>
  </r>
  <r>
    <n v="542"/>
    <x v="540"/>
    <x v="7"/>
    <x v="0"/>
    <s v="Virtual Casino"/>
    <m/>
    <n v="19.2"/>
    <n v="580"/>
    <n v="0"/>
    <n v="1"/>
    <n v="1540"/>
    <n v="1700"/>
    <n v="0"/>
    <n v="1"/>
    <n v="4"/>
    <s v="Monday"/>
    <x v="1"/>
    <n v="66.233766233766232"/>
    <x v="1"/>
    <n v="0"/>
  </r>
  <r>
    <n v="543"/>
    <x v="541"/>
    <x v="5"/>
    <x v="0"/>
    <s v="VALORANT"/>
    <s v="Street Fighter 6"/>
    <n v="7.1"/>
    <n v="2090"/>
    <n v="0"/>
    <n v="1.1000000000000001"/>
    <n v="3236"/>
    <n v="109000"/>
    <n v="5900"/>
    <n v="23"/>
    <n v="4.2"/>
    <s v="Friday"/>
    <x v="1"/>
    <n v="2021.0135970333747"/>
    <x v="1"/>
    <n v="0"/>
  </r>
  <r>
    <n v="544"/>
    <x v="542"/>
    <x v="1"/>
    <x v="1"/>
    <s v="League of Legends"/>
    <s v="Teamfight Tactics"/>
    <n v="8.1999999999999993"/>
    <n v="4860"/>
    <n v="103086"/>
    <n v="1"/>
    <n v="14787"/>
    <n v="1100000"/>
    <n v="241000000"/>
    <n v="10"/>
    <n v="4.5999999999999996"/>
    <s v="Saturday"/>
    <x v="0"/>
    <n v="4463.3799959423823"/>
    <x v="1"/>
    <n v="9.3714545454545453E-2"/>
  </r>
  <r>
    <n v="545"/>
    <x v="543"/>
    <x v="14"/>
    <x v="0"/>
    <s v="Just Chatting"/>
    <s v="Fortnite"/>
    <n v="4.5999999999999996"/>
    <n v="7570"/>
    <n v="0"/>
    <n v="1.7"/>
    <n v="1337"/>
    <n v="229000"/>
    <n v="0"/>
    <n v="54"/>
    <n v="4.2"/>
    <s v="Saturday"/>
    <x v="4"/>
    <n v="10276.738967838444"/>
    <x v="1"/>
    <n v="0"/>
  </r>
  <r>
    <n v="546"/>
    <x v="544"/>
    <x v="1"/>
    <x v="0"/>
    <s v="Call of Duty: Warzone"/>
    <s v="Call of Duty: Modern Warfare III"/>
    <n v="5.3"/>
    <n v="122"/>
    <n v="20"/>
    <n v="1.6"/>
    <n v="104"/>
    <n v="221000"/>
    <n v="364"/>
    <n v="13"/>
    <n v="0.7"/>
    <s v="Thursday"/>
    <x v="5"/>
    <n v="127500"/>
    <x v="1"/>
    <n v="9.0497737556561084E-5"/>
  </r>
  <r>
    <n v="547"/>
    <x v="545"/>
    <x v="0"/>
    <x v="0"/>
    <s v="League of Legends"/>
    <s v="I'm Only Sleeping"/>
    <n v="4.8"/>
    <n v="8980"/>
    <n v="42965"/>
    <n v="1"/>
    <n v="6627"/>
    <n v="1310000"/>
    <n v="61700000"/>
    <n v="28"/>
    <n v="3.5"/>
    <s v="Tuesday"/>
    <x v="1"/>
    <n v="11860.570393843367"/>
    <x v="1"/>
    <n v="3.2797709923664119E-2"/>
  </r>
  <r>
    <n v="548"/>
    <x v="546"/>
    <x v="4"/>
    <x v="0"/>
    <s v="Just Chatting"/>
    <s v="IRL"/>
    <n v="7.2"/>
    <n v="1420"/>
    <n v="3893"/>
    <n v="2.2000000000000002"/>
    <n v="20276"/>
    <n v="492000"/>
    <n v="122000000"/>
    <n v="1414"/>
    <n v="5.4"/>
    <s v="Thursday"/>
    <x v="2"/>
    <n v="1455.9084632077333"/>
    <x v="0"/>
    <n v="7.9126016260162597E-3"/>
  </r>
  <r>
    <n v="549"/>
    <x v="547"/>
    <x v="0"/>
    <x v="0"/>
    <s v="Super Mario 64"/>
    <s v="Counter-Strike"/>
    <n v="4.0999999999999996"/>
    <n v="1360"/>
    <n v="1800"/>
    <n v="1.6"/>
    <n v="7009"/>
    <n v="200000"/>
    <n v="266000"/>
    <n v="245"/>
    <n v="5.3"/>
    <s v="Tuesday"/>
    <x v="6"/>
    <n v="1712.0844628334999"/>
    <x v="1"/>
    <n v="8.9999999999999993E-3"/>
  </r>
  <r>
    <n v="550"/>
    <x v="548"/>
    <x v="4"/>
    <x v="0"/>
    <s v="Just Chatting"/>
    <s v="Dota 2"/>
    <n v="2.1"/>
    <n v="7232"/>
    <n v="35995"/>
    <n v="1.6"/>
    <n v="7250"/>
    <n v="2590000"/>
    <n v="12900000"/>
    <n v="24"/>
    <n v="2.2000000000000002"/>
    <s v="Monday"/>
    <x v="2"/>
    <n v="21434.482758620692"/>
    <x v="1"/>
    <n v="1.3897683397683398E-2"/>
  </r>
  <r>
    <n v="551"/>
    <x v="549"/>
    <x v="0"/>
    <x v="0"/>
    <s v="Tekken 7"/>
    <s v="Path of Exile"/>
    <n v="4"/>
    <n v="1350"/>
    <n v="8283"/>
    <n v="1.2"/>
    <n v="10328"/>
    <n v="431000"/>
    <n v="28600000"/>
    <n v="594"/>
    <n v="6.5"/>
    <s v="Wednesday"/>
    <x v="0"/>
    <n v="2503.8729666924864"/>
    <x v="1"/>
    <n v="1.9218097447795825E-2"/>
  </r>
  <r>
    <n v="552"/>
    <x v="550"/>
    <x v="5"/>
    <x v="0"/>
    <s v="Apex Legends"/>
    <s v="VALORANT"/>
    <n v="5.5"/>
    <n v="1490"/>
    <n v="2358"/>
    <n v="1.1000000000000001"/>
    <n v="5002"/>
    <n v="188000"/>
    <n v="2970000"/>
    <n v="31"/>
    <n v="3.9"/>
    <s v="Thursday"/>
    <x v="1"/>
    <n v="2255.097960815674"/>
    <x v="1"/>
    <n v="1.2542553191489362E-2"/>
  </r>
  <r>
    <n v="553"/>
    <x v="551"/>
    <x v="1"/>
    <x v="0"/>
    <s v="Just Chatting"/>
    <s v="Minecraft"/>
    <n v="1.4"/>
    <n v="1193"/>
    <n v="30"/>
    <n v="1.3"/>
    <n v="3210"/>
    <n v="254000"/>
    <n v="714"/>
    <n v="34"/>
    <n v="1.7"/>
    <s v="Thursday"/>
    <x v="3"/>
    <n v="4747.663551401869"/>
    <x v="1"/>
    <n v="1.1811023622047244E-4"/>
  </r>
  <r>
    <n v="554"/>
    <x v="552"/>
    <x v="0"/>
    <x v="0"/>
    <s v="Call of Duty: Warzone"/>
    <s v="Call of Duty: Black Ops 4"/>
    <n v="8"/>
    <n v="4630"/>
    <n v="22913"/>
    <n v="1.2"/>
    <n v="15647"/>
    <n v="1030000"/>
    <n v="49400000"/>
    <n v="43"/>
    <n v="5"/>
    <s v="Tuesday"/>
    <x v="3"/>
    <n v="3949.6389084169487"/>
    <x v="1"/>
    <n v="2.2245631067961166E-2"/>
  </r>
  <r>
    <n v="555"/>
    <x v="553"/>
    <x v="0"/>
    <x v="0"/>
    <s v="Slots"/>
    <m/>
    <n v="3.4"/>
    <n v="2870"/>
    <n v="0"/>
    <n v="1"/>
    <n v="70"/>
    <n v="1300"/>
    <n v="0"/>
    <n v="1"/>
    <n v="0.5"/>
    <s v="Monday"/>
    <x v="1"/>
    <n v="1114.2857142857142"/>
    <x v="1"/>
    <n v="0"/>
  </r>
  <r>
    <n v="556"/>
    <x v="554"/>
    <x v="0"/>
    <x v="0"/>
    <s v="Sports"/>
    <s v="Just Chatting"/>
    <n v="2.4"/>
    <n v="5390"/>
    <n v="7050"/>
    <n v="1.1000000000000001"/>
    <n v="5850"/>
    <n v="148000"/>
    <n v="218000"/>
    <n v="31"/>
    <n v="0.6"/>
    <s v="Saturday"/>
    <x v="1"/>
    <n v="1517.948717948718"/>
    <x v="1"/>
    <n v="4.7635135135135134E-2"/>
  </r>
  <r>
    <n v="557"/>
    <x v="555"/>
    <x v="5"/>
    <x v="0"/>
    <s v="Apex Legends"/>
    <s v="League of Legends"/>
    <n v="6.2"/>
    <n v="3630"/>
    <n v="2600"/>
    <n v="1.2"/>
    <n v="4069"/>
    <n v="278000"/>
    <n v="200000"/>
    <n v="37"/>
    <n v="2.2999999999999998"/>
    <s v="Friday"/>
    <x v="0"/>
    <n v="4099.2872941754731"/>
    <x v="1"/>
    <n v="9.3525179856115102E-3"/>
  </r>
  <r>
    <n v="558"/>
    <x v="556"/>
    <x v="9"/>
    <x v="0"/>
    <s v="League of Legends"/>
    <s v="Teamfight Tactics"/>
    <n v="5.8"/>
    <n v="1690"/>
    <n v="25593"/>
    <n v="1.2"/>
    <n v="12059"/>
    <n v="621000"/>
    <n v="85400000"/>
    <n v="62"/>
    <n v="5.2"/>
    <s v="Thursday"/>
    <x v="1"/>
    <n v="3089.8084418276808"/>
    <x v="1"/>
    <n v="4.1212560386473432E-2"/>
  </r>
  <r>
    <n v="559"/>
    <x v="557"/>
    <x v="0"/>
    <x v="1"/>
    <s v="Madden NFL 21"/>
    <s v="Madden NFL 20"/>
    <n v="1.6"/>
    <n v="3910"/>
    <n v="14111"/>
    <n v="1"/>
    <n v="2009"/>
    <n v="683000"/>
    <n v="24200000"/>
    <n v="9"/>
    <n v="3.2"/>
    <s v="Thursday"/>
    <x v="0"/>
    <n v="20398.208063713289"/>
    <x v="1"/>
    <n v="2.0660322108345536E-2"/>
  </r>
  <r>
    <n v="560"/>
    <x v="558"/>
    <x v="3"/>
    <x v="0"/>
    <s v="VALORANT"/>
    <s v="Z1: Battle Royale"/>
    <n v="6.5"/>
    <n v="2040"/>
    <n v="8570"/>
    <n v="1.2"/>
    <n v="8708"/>
    <n v="274000"/>
    <n v="1150000"/>
    <n v="36"/>
    <n v="3.8"/>
    <s v="Thursday"/>
    <x v="4"/>
    <n v="1887.9191548001838"/>
    <x v="1"/>
    <n v="3.1277372262773724E-2"/>
  </r>
  <r>
    <n v="561"/>
    <x v="559"/>
    <x v="7"/>
    <x v="0"/>
    <s v="League of Legends"/>
    <s v="VALORANT"/>
    <n v="3.9"/>
    <n v="1523"/>
    <n v="46333"/>
    <n v="1.2"/>
    <n v="2062"/>
    <n v="984000"/>
    <n v="46400000"/>
    <n v="27"/>
    <n v="1.3"/>
    <s v="Wednesday"/>
    <x v="1"/>
    <n v="28632.395732298737"/>
    <x v="1"/>
    <n v="4.7086382113821136E-2"/>
  </r>
  <r>
    <n v="562"/>
    <x v="560"/>
    <x v="0"/>
    <x v="0"/>
    <s v="Dota 2"/>
    <s v="Fortnite"/>
    <n v="8"/>
    <n v="1220"/>
    <n v="21392"/>
    <n v="1.4"/>
    <n v="20043"/>
    <n v="644000"/>
    <n v="101000000"/>
    <n v="528"/>
    <n v="6.4"/>
    <s v="Friday"/>
    <x v="2"/>
    <n v="1927.855111510253"/>
    <x v="1"/>
    <n v="3.3217391304347824E-2"/>
  </r>
  <r>
    <n v="563"/>
    <x v="561"/>
    <x v="5"/>
    <x v="0"/>
    <s v="Apex Legends"/>
    <s v="Shadowverse"/>
    <n v="3.3"/>
    <n v="1028"/>
    <n v="13533"/>
    <n v="1.3"/>
    <n v="8110"/>
    <n v="240000"/>
    <n v="3190000"/>
    <n v="34"/>
    <n v="1.3"/>
    <s v="Saturday"/>
    <x v="1"/>
    <n v="1775.585696670777"/>
    <x v="1"/>
    <n v="5.63875E-2"/>
  </r>
  <r>
    <n v="564"/>
    <x v="562"/>
    <x v="0"/>
    <x v="0"/>
    <s v="Minecraft"/>
    <s v="Among Us"/>
    <n v="3"/>
    <n v="4200"/>
    <n v="3467"/>
    <n v="1"/>
    <n v="2006"/>
    <n v="307000"/>
    <n v="2430000"/>
    <n v="70"/>
    <n v="3"/>
    <s v="Monday"/>
    <x v="1"/>
    <n v="9182.4526420737802"/>
    <x v="1"/>
    <n v="1.1293159609120522E-2"/>
  </r>
  <r>
    <n v="565"/>
    <x v="563"/>
    <x v="0"/>
    <x v="0"/>
    <s v="Just Chatting"/>
    <s v="Grand Theft Auto V"/>
    <n v="7.4"/>
    <n v="7170"/>
    <n v="10187"/>
    <n v="1.8"/>
    <n v="5029"/>
    <n v="451000"/>
    <n v="6410000"/>
    <n v="51"/>
    <n v="2.7"/>
    <s v="Wednesday"/>
    <x v="6"/>
    <n v="5380.7914098230267"/>
    <x v="1"/>
    <n v="2.2587583148558757E-2"/>
  </r>
  <r>
    <n v="566"/>
    <x v="564"/>
    <x v="1"/>
    <x v="0"/>
    <s v="Music"/>
    <s v="Just Chatting"/>
    <n v="2.2999999999999998"/>
    <n v="7380"/>
    <n v="13913"/>
    <n v="1"/>
    <n v="8130"/>
    <n v="203000"/>
    <n v="3830000"/>
    <n v="4"/>
    <n v="1.2"/>
    <s v="Saturday"/>
    <x v="0"/>
    <n v="1498.1549815498156"/>
    <x v="1"/>
    <n v="6.8536945812807878E-2"/>
  </r>
  <r>
    <n v="567"/>
    <x v="565"/>
    <x v="1"/>
    <x v="0"/>
    <s v="Just Chatting"/>
    <s v="Variety"/>
    <n v="2.5"/>
    <n v="2132"/>
    <n v="0"/>
    <n v="1"/>
    <n v="280"/>
    <n v="26700"/>
    <n v="0"/>
    <n v="2"/>
    <n v="4.0999999999999996"/>
    <s v="Wednesday"/>
    <x v="6"/>
    <n v="5721.4285714285706"/>
    <x v="1"/>
    <n v="0"/>
  </r>
  <r>
    <n v="568"/>
    <x v="566"/>
    <x v="6"/>
    <x v="0"/>
    <s v="Just Chatting"/>
    <s v="Variety"/>
    <n v="6.1"/>
    <n v="980"/>
    <n v="36245"/>
    <n v="1.2"/>
    <n v="12495"/>
    <n v="452000"/>
    <n v="122000000"/>
    <n v="508"/>
    <n v="5.2"/>
    <s v="Saturday"/>
    <x v="5"/>
    <n v="2170.4681872749102"/>
    <x v="1"/>
    <n v="8.0188053097345127E-2"/>
  </r>
  <r>
    <n v="569"/>
    <x v="567"/>
    <x v="0"/>
    <x v="0"/>
    <s v="Just Chatting"/>
    <s v="VALORANT"/>
    <n v="3.1"/>
    <n v="1359"/>
    <n v="2792"/>
    <n v="1.6"/>
    <n v="3612"/>
    <n v="1600000"/>
    <n v="3280000"/>
    <n v="361"/>
    <n v="6"/>
    <s v="Thursday"/>
    <x v="1"/>
    <n v="26578.073089700996"/>
    <x v="1"/>
    <n v="1.745E-3"/>
  </r>
  <r>
    <n v="570"/>
    <x v="568"/>
    <x v="4"/>
    <x v="0"/>
    <s v="Casino"/>
    <m/>
    <n v="3.4"/>
    <n v="0"/>
    <n v="0"/>
    <n v="1"/>
    <n v="70"/>
    <n v="0"/>
    <n v="0"/>
    <n v="1"/>
    <n v="0.5"/>
    <s v="Friday"/>
    <x v="2"/>
    <n v="0"/>
    <x v="1"/>
    <e v="#DIV/0!"/>
  </r>
  <r>
    <n v="571"/>
    <x v="569"/>
    <x v="0"/>
    <x v="0"/>
    <s v="FIFA 23"/>
    <s v="FIFA 22"/>
    <n v="4.9000000000000004"/>
    <n v="2180"/>
    <n v="2873"/>
    <n v="1.2"/>
    <n v="7158"/>
    <n v="374000"/>
    <n v="4200000"/>
    <n v="53"/>
    <n v="3.9"/>
    <s v="Monday"/>
    <x v="0"/>
    <n v="3134.9538977367979"/>
    <x v="1"/>
    <n v="7.681818181818182E-3"/>
  </r>
  <r>
    <n v="572"/>
    <x v="570"/>
    <x v="0"/>
    <x v="0"/>
    <s v="VALORANT"/>
    <s v="Just Chatting"/>
    <n v="5"/>
    <n v="1088"/>
    <n v="22999"/>
    <n v="2.2000000000000002"/>
    <n v="6146"/>
    <n v="1150000"/>
    <n v="24400000"/>
    <n v="231"/>
    <n v="3.5"/>
    <s v="Friday"/>
    <x v="4"/>
    <n v="11226.814188089815"/>
    <x v="0"/>
    <n v="1.999913043478261E-2"/>
  </r>
  <r>
    <n v="573"/>
    <x v="571"/>
    <x v="5"/>
    <x v="0"/>
    <s v="Grand Theft Auto V"/>
    <s v="Rust"/>
    <n v="6.2"/>
    <n v="4590"/>
    <n v="0"/>
    <n v="1"/>
    <n v="1009"/>
    <n v="76600"/>
    <n v="0"/>
    <n v="3"/>
    <n v="3.4"/>
    <s v="Saturday"/>
    <x v="0"/>
    <n v="4555.0049554013876"/>
    <x v="1"/>
    <n v="0"/>
  </r>
  <r>
    <n v="574"/>
    <x v="572"/>
    <x v="1"/>
    <x v="0"/>
    <s v="Just Chatting"/>
    <s v="Grand Theft Auto V"/>
    <n v="6"/>
    <n v="2427"/>
    <n v="24144"/>
    <n v="3"/>
    <n v="7456"/>
    <n v="2900000"/>
    <n v="28900000"/>
    <n v="439"/>
    <n v="4.5999999999999996"/>
    <s v="Monday"/>
    <x v="5"/>
    <n v="23336.909871244636"/>
    <x v="0"/>
    <n v="8.3255172413793099E-3"/>
  </r>
  <r>
    <n v="575"/>
    <x v="573"/>
    <x v="0"/>
    <x v="0"/>
    <s v="Trackmania"/>
    <s v="TrackMania (1)"/>
    <n v="4.3"/>
    <n v="480"/>
    <n v="2070"/>
    <n v="1"/>
    <n v="3783"/>
    <n v="41000"/>
    <n v="179000"/>
    <n v="14"/>
    <n v="2.9"/>
    <s v="Thursday"/>
    <x v="0"/>
    <n v="650.27755749405242"/>
    <x v="1"/>
    <n v="5.0487804878048784E-2"/>
  </r>
  <r>
    <n v="576"/>
    <x v="574"/>
    <x v="3"/>
    <x v="0"/>
    <s v="Grand Theft Auto V"/>
    <s v="Just Chatting"/>
    <n v="8.1999999999999993"/>
    <n v="1920"/>
    <n v="34522"/>
    <n v="2.4"/>
    <n v="15639"/>
    <n v="423000"/>
    <n v="69600000"/>
    <n v="541"/>
    <n v="4.9000000000000004"/>
    <s v="Sunday"/>
    <x v="3"/>
    <n v="1622.8659121427202"/>
    <x v="0"/>
    <n v="8.1612293144208037E-2"/>
  </r>
  <r>
    <n v="577"/>
    <x v="575"/>
    <x v="6"/>
    <x v="0"/>
    <s v="Grand Theft Auto V"/>
    <s v="Just Chatting"/>
    <n v="6.5"/>
    <n v="610"/>
    <n v="9724"/>
    <n v="1.9"/>
    <n v="7447"/>
    <n v="70900"/>
    <n v="11400000"/>
    <n v="274"/>
    <n v="3.3"/>
    <s v="Saturday"/>
    <x v="1"/>
    <n v="571.23673962669534"/>
    <x v="1"/>
    <n v="0.1371509167842031"/>
  </r>
  <r>
    <n v="578"/>
    <x v="576"/>
    <x v="9"/>
    <x v="0"/>
    <s v="Grand Theft Auto V"/>
    <s v="Fortnite"/>
    <n v="4.5999999999999996"/>
    <n v="3680"/>
    <n v="28381"/>
    <n v="1.7"/>
    <n v="11299"/>
    <n v="916000"/>
    <n v="70700000"/>
    <n v="153"/>
    <n v="6.7"/>
    <s v="Thursday"/>
    <x v="5"/>
    <n v="4864.147269669882"/>
    <x v="1"/>
    <n v="3.098362445414847E-2"/>
  </r>
  <r>
    <n v="579"/>
    <x v="577"/>
    <x v="1"/>
    <x v="1"/>
    <s v="VALORANT"/>
    <s v="Variety"/>
    <n v="5.2"/>
    <n v="6060"/>
    <n v="10209"/>
    <n v="1"/>
    <n v="3661"/>
    <n v="404000"/>
    <n v="6800000"/>
    <n v="2"/>
    <n v="3.4"/>
    <s v="Saturday"/>
    <x v="1"/>
    <n v="6621.1417645452066"/>
    <x v="1"/>
    <n v="2.5269801980198021E-2"/>
  </r>
  <r>
    <n v="580"/>
    <x v="578"/>
    <x v="15"/>
    <x v="0"/>
    <s v="Just Chatting"/>
    <s v="League of Legends"/>
    <n v="6"/>
    <n v="2500"/>
    <n v="33508"/>
    <n v="2.2999999999999998"/>
    <n v="15607"/>
    <n v="700000"/>
    <n v="88700000"/>
    <n v="966"/>
    <n v="6.7"/>
    <s v="Monday"/>
    <x v="3"/>
    <n v="2691.1001473697697"/>
    <x v="0"/>
    <n v="4.7868571428571427E-2"/>
  </r>
  <r>
    <n v="581"/>
    <x v="579"/>
    <x v="0"/>
    <x v="0"/>
    <s v="League of Legends"/>
    <s v="Just Chatting"/>
    <n v="3.7"/>
    <n v="1580"/>
    <n v="3472"/>
    <n v="1.2"/>
    <n v="5605"/>
    <n v="262000"/>
    <n v="5740000"/>
    <n v="55"/>
    <n v="5.0999999999999996"/>
    <s v="Wednesday"/>
    <x v="1"/>
    <n v="2804.6387154326494"/>
    <x v="1"/>
    <n v="1.3251908396946566E-2"/>
  </r>
  <r>
    <n v="582"/>
    <x v="580"/>
    <x v="5"/>
    <x v="0"/>
    <s v="Grand Theft Auto V"/>
    <s v="VALORANT"/>
    <n v="5.8"/>
    <n v="8460"/>
    <n v="3990"/>
    <n v="1.3"/>
    <n v="1599"/>
    <n v="256000"/>
    <n v="121000"/>
    <n v="49"/>
    <n v="1.1000000000000001"/>
    <s v="Tuesday"/>
    <x v="1"/>
    <n v="9606.0037523452156"/>
    <x v="1"/>
    <n v="1.5585937500000001E-2"/>
  </r>
  <r>
    <n v="583"/>
    <x v="581"/>
    <x v="7"/>
    <x v="0"/>
    <s v="Tom Clancy's Rainbow Six Siege"/>
    <s v="Virtual Casino"/>
    <n v="7.5"/>
    <n v="1190"/>
    <n v="4739"/>
    <n v="1.7"/>
    <n v="11367"/>
    <n v="211000"/>
    <n v="8410000"/>
    <n v="68"/>
    <n v="5.7"/>
    <s v="Sunday"/>
    <x v="3"/>
    <n v="1113.750329902349"/>
    <x v="1"/>
    <n v="2.2459715639810425E-2"/>
  </r>
  <r>
    <n v="584"/>
    <x v="582"/>
    <x v="0"/>
    <x v="0"/>
    <s v="World of Warcraft"/>
    <s v="FINAL FANTASY XIV ONLINE"/>
    <n v="5.8"/>
    <n v="3330"/>
    <n v="27261"/>
    <n v="1.2"/>
    <n v="10608"/>
    <n v="503000"/>
    <n v="41100000"/>
    <n v="109"/>
    <n v="4.8"/>
    <s v="Wednesday"/>
    <x v="4"/>
    <n v="2845.0226244343889"/>
    <x v="1"/>
    <n v="5.4196819085487076E-2"/>
  </r>
  <r>
    <n v="585"/>
    <x v="583"/>
    <x v="0"/>
    <x v="0"/>
    <s v="VALORANT"/>
    <s v="PUBG: BATTLEGROUNDS"/>
    <n v="3.8"/>
    <n v="5610"/>
    <n v="1917"/>
    <n v="1"/>
    <n v="1993"/>
    <n v="337000"/>
    <n v="1150000"/>
    <n v="4"/>
    <n v="3"/>
    <s v="Wednesday"/>
    <x v="1"/>
    <n v="10145.509282488711"/>
    <x v="1"/>
    <n v="5.6884272997032642E-3"/>
  </r>
  <r>
    <n v="586"/>
    <x v="584"/>
    <x v="2"/>
    <x v="0"/>
    <s v="League of Legends"/>
    <s v="ELDEN RING"/>
    <n v="4.0999999999999996"/>
    <n v="3480"/>
    <n v="7162"/>
    <n v="1.1000000000000001"/>
    <n v="3407"/>
    <n v="326000"/>
    <n v="6660000"/>
    <n v="36"/>
    <n v="2.2000000000000002"/>
    <s v="Monday"/>
    <x v="1"/>
    <n v="5741.1212210155563"/>
    <x v="1"/>
    <n v="2.1969325153374235E-2"/>
  </r>
  <r>
    <n v="587"/>
    <x v="585"/>
    <x v="9"/>
    <x v="0"/>
    <s v="Just Chatting"/>
    <s v="Counter-Strike"/>
    <n v="6.5"/>
    <n v="6350"/>
    <n v="2882"/>
    <n v="2.4"/>
    <n v="6138"/>
    <n v="598000"/>
    <n v="2710000"/>
    <n v="99"/>
    <n v="4.5999999999999996"/>
    <s v="Tuesday"/>
    <x v="4"/>
    <n v="5845.5522971652008"/>
    <x v="0"/>
    <n v="4.8193979933110372E-3"/>
  </r>
  <r>
    <n v="588"/>
    <x v="586"/>
    <x v="0"/>
    <x v="0"/>
    <s v="Grand Theft Auto V"/>
    <s v="Dauntless"/>
    <n v="7"/>
    <n v="1650"/>
    <n v="6495"/>
    <n v="1.3"/>
    <n v="12389"/>
    <n v="299000"/>
    <n v="11800000"/>
    <n v="114"/>
    <n v="5.6"/>
    <s v="Friday"/>
    <x v="5"/>
    <n v="1448.0587618048269"/>
    <x v="1"/>
    <n v="2.1722408026755853E-2"/>
  </r>
  <r>
    <n v="589"/>
    <x v="587"/>
    <x v="0"/>
    <x v="0"/>
    <s v="VALORANT"/>
    <s v="Super Smash Bros. Melee"/>
    <n v="3.1"/>
    <n v="4960"/>
    <n v="3460"/>
    <n v="1.1000000000000001"/>
    <n v="2158"/>
    <n v="396000"/>
    <n v="276000"/>
    <n v="39"/>
    <n v="3.2"/>
    <s v="Sunday"/>
    <x v="4"/>
    <n v="11010.194624652455"/>
    <x v="1"/>
    <n v="8.7373737373737381E-3"/>
  </r>
  <r>
    <n v="590"/>
    <x v="588"/>
    <x v="4"/>
    <x v="0"/>
    <s v="Casino"/>
    <m/>
    <n v="5.3"/>
    <n v="0"/>
    <n v="0"/>
    <n v="1"/>
    <n v="110"/>
    <n v="0"/>
    <n v="0"/>
    <n v="1"/>
    <n v="0.4"/>
    <s v="Tuesday"/>
    <x v="6"/>
    <n v="0"/>
    <x v="1"/>
    <e v="#DIV/0!"/>
  </r>
  <r>
    <n v="591"/>
    <x v="589"/>
    <x v="0"/>
    <x v="0"/>
    <s v="Apex Legends"/>
    <s v="VALORANT"/>
    <n v="8.1"/>
    <n v="1683"/>
    <n v="2742"/>
    <n v="1.7"/>
    <n v="14451"/>
    <n v="2830000"/>
    <n v="46200000"/>
    <n v="136"/>
    <n v="5"/>
    <s v="Wednesday"/>
    <x v="4"/>
    <n v="11750.051899522525"/>
    <x v="1"/>
    <n v="9.6890459363957601E-4"/>
  </r>
  <r>
    <n v="592"/>
    <x v="590"/>
    <x v="7"/>
    <x v="0"/>
    <s v="Slots"/>
    <s v="Virtual Casino"/>
    <n v="19.8"/>
    <n v="370"/>
    <n v="0"/>
    <n v="1.8"/>
    <n v="1190"/>
    <n v="1500"/>
    <n v="0"/>
    <n v="2"/>
    <n v="1.6"/>
    <s v="Tuesday"/>
    <x v="3"/>
    <n v="75.630252100840337"/>
    <x v="1"/>
    <n v="0"/>
  </r>
  <r>
    <n v="593"/>
    <x v="591"/>
    <x v="0"/>
    <x v="0"/>
    <s v="Marvel Snap"/>
    <s v="Teamfight Tactics"/>
    <n v="6.1"/>
    <n v="1850"/>
    <n v="40"/>
    <n v="1.3"/>
    <n v="3491"/>
    <n v="89200"/>
    <n v="7800"/>
    <n v="51"/>
    <n v="2"/>
    <s v="Tuesday"/>
    <x v="6"/>
    <n v="1533.0850759094817"/>
    <x v="1"/>
    <n v="4.4843049327354261E-4"/>
  </r>
  <r>
    <n v="594"/>
    <x v="592"/>
    <x v="4"/>
    <x v="0"/>
    <s v="Casino"/>
    <m/>
    <n v="6.3"/>
    <n v="10"/>
    <n v="0"/>
    <n v="1"/>
    <n v="60"/>
    <n v="1"/>
    <n v="0"/>
    <n v="1"/>
    <n v="0.5"/>
    <s v="Sunday"/>
    <x v="1"/>
    <n v="1"/>
    <x v="1"/>
    <n v="0"/>
  </r>
  <r>
    <n v="595"/>
    <x v="593"/>
    <x v="3"/>
    <x v="0"/>
    <s v="Dead by Daylight"/>
    <s v="VALORANT"/>
    <n v="6"/>
    <n v="1760"/>
    <n v="15534"/>
    <n v="2.1"/>
    <n v="13583"/>
    <n v="546000"/>
    <n v="43400000"/>
    <n v="558"/>
    <n v="5.8"/>
    <s v="Tuesday"/>
    <x v="4"/>
    <n v="2411.8383273209161"/>
    <x v="0"/>
    <n v="2.8450549450549451E-2"/>
  </r>
  <r>
    <n v="596"/>
    <x v="594"/>
    <x v="1"/>
    <x v="0"/>
    <s v="Just Chatting"/>
    <s v="Grand Theft Auto: San Andreas"/>
    <n v="4.4000000000000004"/>
    <n v="4900"/>
    <n v="516"/>
    <n v="2.6"/>
    <n v="5405"/>
    <n v="572000"/>
    <n v="6020000"/>
    <n v="216"/>
    <n v="3.6"/>
    <s v="Saturday"/>
    <x v="2"/>
    <n v="6349.6762257169294"/>
    <x v="0"/>
    <n v="9.0209790209790205E-4"/>
  </r>
  <r>
    <n v="597"/>
    <x v="595"/>
    <x v="1"/>
    <x v="0"/>
    <s v="Just Chatting"/>
    <s v="Talk Shows &amp; Podcasts"/>
    <n v="6.2"/>
    <n v="6160"/>
    <n v="0"/>
    <n v="1"/>
    <n v="1407"/>
    <n v="148000"/>
    <n v="0"/>
    <n v="2"/>
    <n v="4.5999999999999996"/>
    <s v="Wednesday"/>
    <x v="1"/>
    <n v="6311.3006396588489"/>
    <x v="1"/>
    <n v="0"/>
  </r>
  <r>
    <n v="598"/>
    <x v="596"/>
    <x v="1"/>
    <x v="0"/>
    <s v="Just Chatting"/>
    <s v="Fall Guys"/>
    <n v="4.2"/>
    <n v="4250"/>
    <n v="1710"/>
    <n v="2.2000000000000002"/>
    <n v="3362"/>
    <n v="330000"/>
    <n v="133000"/>
    <n v="227"/>
    <n v="5.6"/>
    <s v="Tuesday"/>
    <x v="0"/>
    <n v="5889.3515764425938"/>
    <x v="0"/>
    <n v="5.1818181818181815E-3"/>
  </r>
  <r>
    <n v="599"/>
    <x v="597"/>
    <x v="1"/>
    <x v="0"/>
    <s v="Genshin Impact"/>
    <s v="Rust"/>
    <n v="6.3"/>
    <n v="2690"/>
    <n v="49"/>
    <n v="1.9"/>
    <n v="11028"/>
    <n v="450000"/>
    <n v="8170000"/>
    <n v="123"/>
    <n v="4.4000000000000004"/>
    <s v="Friday"/>
    <x v="6"/>
    <n v="2448.3133841131662"/>
    <x v="1"/>
    <n v="1.0888888888888889E-4"/>
  </r>
  <r>
    <n v="600"/>
    <x v="598"/>
    <x v="0"/>
    <x v="0"/>
    <s v="Escape from Tarkov"/>
    <s v="Project Zomboid"/>
    <n v="7.8"/>
    <n v="1500"/>
    <n v="9068"/>
    <n v="1.3"/>
    <n v="198"/>
    <n v="427000"/>
    <n v="25800000"/>
    <n v="156"/>
    <n v="6.6"/>
    <s v="Wednesday"/>
    <x v="6"/>
    <n v="129393.93939393941"/>
    <x v="1"/>
    <n v="2.1236533957845433E-2"/>
  </r>
  <r>
    <n v="601"/>
    <x v="599"/>
    <x v="0"/>
    <x v="0"/>
    <s v="Pokemon FireRed/LeafGreen"/>
    <s v="Mafia.gg"/>
    <n v="8.4"/>
    <n v="280"/>
    <n v="6269"/>
    <n v="1.4"/>
    <n v="20644"/>
    <n v="153000"/>
    <n v="26900000"/>
    <n v="397"/>
    <n v="6.3"/>
    <s v="Tuesday"/>
    <x v="4"/>
    <n v="444.68126332106181"/>
    <x v="1"/>
    <n v="4.0973856209150325E-2"/>
  </r>
  <r>
    <n v="602"/>
    <x v="600"/>
    <x v="7"/>
    <x v="0"/>
    <s v="Counter-Strike"/>
    <s v="Just Chatting"/>
    <n v="15.4"/>
    <n v="5940"/>
    <n v="234"/>
    <n v="2.7"/>
    <n v="16056"/>
    <n v="641000"/>
    <n v="25300000"/>
    <n v="255"/>
    <n v="5.5"/>
    <s v="Thursday"/>
    <x v="3"/>
    <n v="2395.3662182361732"/>
    <x v="0"/>
    <n v="3.6505460218408739E-4"/>
  </r>
  <r>
    <n v="603"/>
    <x v="601"/>
    <x v="0"/>
    <x v="0"/>
    <s v="League of Legends"/>
    <s v="World of Warcraft"/>
    <n v="8.6999999999999993"/>
    <n v="3980"/>
    <n v="40331"/>
    <n v="2.2000000000000002"/>
    <n v="20165"/>
    <n v="1760000"/>
    <n v="141000000"/>
    <n v="275"/>
    <n v="5.9"/>
    <s v="Thursday"/>
    <x v="2"/>
    <n v="5236.7964294569801"/>
    <x v="0"/>
    <n v="2.291534090909091E-2"/>
  </r>
  <r>
    <n v="604"/>
    <x v="602"/>
    <x v="0"/>
    <x v="0"/>
    <s v="Chess"/>
    <s v="Chess (4)"/>
    <n v="4.7"/>
    <n v="1239"/>
    <n v="112386"/>
    <n v="1.2"/>
    <n v="6679"/>
    <n v="1910000"/>
    <n v="175000000"/>
    <n v="59"/>
    <n v="4"/>
    <s v="Tuesday"/>
    <x v="4"/>
    <n v="17158.257224135352"/>
    <x v="1"/>
    <n v="5.884083769633508E-2"/>
  </r>
  <r>
    <n v="605"/>
    <x v="603"/>
    <x v="7"/>
    <x v="0"/>
    <s v="Just Chatting"/>
    <s v="Minecraft"/>
    <n v="3.5"/>
    <n v="4730"/>
    <n v="9910"/>
    <n v="1.6"/>
    <n v="4456"/>
    <n v="607000"/>
    <n v="1270000"/>
    <n v="72"/>
    <n v="5.5"/>
    <s v="Sunday"/>
    <x v="2"/>
    <n v="8173.2495511669658"/>
    <x v="1"/>
    <n v="1.6326194398682044E-2"/>
  </r>
  <r>
    <n v="606"/>
    <x v="604"/>
    <x v="0"/>
    <x v="0"/>
    <s v="Minecraft"/>
    <s v="Phasmophobia"/>
    <n v="2.6"/>
    <n v="1401"/>
    <n v="4185"/>
    <n v="1"/>
    <n v="9330"/>
    <n v="525000"/>
    <n v="1640000"/>
    <n v="12"/>
    <n v="0.9"/>
    <s v="Saturday"/>
    <x v="5"/>
    <n v="3376.2057877813504"/>
    <x v="1"/>
    <n v="7.971428571428572E-3"/>
  </r>
  <r>
    <n v="607"/>
    <x v="605"/>
    <x v="0"/>
    <x v="0"/>
    <s v="Counter-Strike"/>
    <s v="VALORANT"/>
    <n v="8.6999999999999993"/>
    <n v="1960"/>
    <n v="1893"/>
    <n v="1.4"/>
    <n v="23045"/>
    <n v="879000"/>
    <n v="73400000"/>
    <n v="181"/>
    <n v="6.7"/>
    <s v="Tuesday"/>
    <x v="1"/>
    <n v="2288.5658494250379"/>
    <x v="1"/>
    <n v="2.1535836177474402E-3"/>
  </r>
  <r>
    <n v="608"/>
    <x v="606"/>
    <x v="0"/>
    <x v="0"/>
    <s v="Music"/>
    <s v="Variety"/>
    <n v="4.3"/>
    <n v="1080"/>
    <n v="37008"/>
    <n v="1.1000000000000001"/>
    <n v="980"/>
    <n v="2500"/>
    <n v="852000"/>
    <n v="2"/>
    <n v="0.1"/>
    <s v="Wednesday"/>
    <x v="6"/>
    <n v="153.06122448979593"/>
    <x v="1"/>
    <n v="14.8032"/>
  </r>
  <r>
    <n v="609"/>
    <x v="607"/>
    <x v="0"/>
    <x v="0"/>
    <s v="League of Legends"/>
    <s v="For Honor"/>
    <n v="7"/>
    <n v="930"/>
    <n v="10996"/>
    <n v="1.7"/>
    <n v="16291"/>
    <n v="331000"/>
    <n v="26800000"/>
    <n v="506"/>
    <n v="5.9"/>
    <s v="Thursday"/>
    <x v="4"/>
    <n v="1219.078018537843"/>
    <x v="1"/>
    <n v="3.3220543806646526E-2"/>
  </r>
  <r>
    <n v="610"/>
    <x v="608"/>
    <x v="7"/>
    <x v="0"/>
    <s v="Virtual Casino"/>
    <m/>
    <n v="14.1"/>
    <n v="-4240"/>
    <n v="0"/>
    <n v="1"/>
    <n v="560"/>
    <n v="1"/>
    <n v="0"/>
    <n v="1"/>
    <n v="2.2999999999999998"/>
    <s v="Wednesday"/>
    <x v="5"/>
    <n v="0.10714285714285714"/>
    <x v="1"/>
    <n v="0"/>
  </r>
  <r>
    <n v="611"/>
    <x v="609"/>
    <x v="4"/>
    <x v="0"/>
    <s v="Just Chatting"/>
    <s v="Dota 2"/>
    <n v="3.9"/>
    <n v="2710"/>
    <n v="9997"/>
    <n v="2"/>
    <n v="8461"/>
    <n v="528000"/>
    <n v="20100000"/>
    <n v="185"/>
    <n v="5.3"/>
    <s v="Wednesday"/>
    <x v="4"/>
    <n v="3744.238269708072"/>
    <x v="1"/>
    <n v="1.8933712121212122E-2"/>
  </r>
  <r>
    <n v="612"/>
    <x v="610"/>
    <x v="4"/>
    <x v="0"/>
    <s v="Casino"/>
    <m/>
    <n v="5.3"/>
    <n v="20"/>
    <n v="0"/>
    <n v="1"/>
    <n v="110"/>
    <n v="2"/>
    <n v="0"/>
    <n v="1"/>
    <n v="0.6"/>
    <s v="Monday"/>
    <x v="1"/>
    <n v="1.0909090909090911"/>
    <x v="1"/>
    <n v="0"/>
  </r>
  <r>
    <n v="613"/>
    <x v="611"/>
    <x v="10"/>
    <x v="0"/>
    <s v="League of Legends"/>
    <s v="Just Chatting"/>
    <n v="4"/>
    <n v="1830"/>
    <n v="5867"/>
    <n v="1.1000000000000001"/>
    <n v="4393"/>
    <n v="217000"/>
    <n v="6950000"/>
    <n v="23"/>
    <n v="3.1"/>
    <s v="Wednesday"/>
    <x v="1"/>
    <n v="2963.8060550876394"/>
    <x v="1"/>
    <n v="2.7036866359447003E-2"/>
  </r>
  <r>
    <n v="614"/>
    <x v="612"/>
    <x v="0"/>
    <x v="0"/>
    <s v="League of Legends"/>
    <s v="Teamfight Tactics"/>
    <n v="6.4"/>
    <n v="4040"/>
    <n v="20691"/>
    <n v="1"/>
    <n v="12887"/>
    <n v="841000"/>
    <n v="43000000"/>
    <n v="25"/>
    <n v="5.2"/>
    <s v="Tuesday"/>
    <x v="2"/>
    <n v="3915.5738340963762"/>
    <x v="1"/>
    <n v="2.4602853745541022E-2"/>
  </r>
  <r>
    <n v="615"/>
    <x v="613"/>
    <x v="4"/>
    <x v="0"/>
    <s v="Just Chatting"/>
    <s v="Minecraft"/>
    <n v="3.1"/>
    <n v="2208"/>
    <n v="0"/>
    <n v="2.2000000000000002"/>
    <n v="9450"/>
    <n v="669000"/>
    <n v="151"/>
    <n v="183"/>
    <n v="2.2000000000000002"/>
    <s v="Saturday"/>
    <x v="5"/>
    <n v="4247.6190476190477"/>
    <x v="0"/>
    <n v="0"/>
  </r>
  <r>
    <n v="616"/>
    <x v="614"/>
    <x v="0"/>
    <x v="0"/>
    <s v="Just Chatting"/>
    <s v="Grand Theft Auto V"/>
    <n v="3.6"/>
    <n v="6449"/>
    <n v="12778"/>
    <n v="1.5"/>
    <n v="1920"/>
    <n v="368000"/>
    <n v="728000"/>
    <n v="14"/>
    <n v="0.3"/>
    <s v="Thursday"/>
    <x v="0"/>
    <n v="11500"/>
    <x v="1"/>
    <n v="3.4722826086956524E-2"/>
  </r>
  <r>
    <n v="617"/>
    <x v="615"/>
    <x v="0"/>
    <x v="0"/>
    <s v="Teamfight Tactics"/>
    <s v="Fortnite"/>
    <n v="6"/>
    <n v="1580"/>
    <n v="3159"/>
    <n v="1.6"/>
    <n v="9673"/>
    <n v="234000"/>
    <n v="4700000"/>
    <n v="110"/>
    <n v="4.5"/>
    <s v="Thursday"/>
    <x v="2"/>
    <n v="1451.4628346945105"/>
    <x v="1"/>
    <n v="1.35E-2"/>
  </r>
  <r>
    <n v="618"/>
    <x v="616"/>
    <x v="2"/>
    <x v="0"/>
    <s v="Talk Shows &amp; Podcasts"/>
    <s v="Just Chatting"/>
    <n v="4"/>
    <n v="1510"/>
    <n v="5751"/>
    <n v="1.1000000000000001"/>
    <n v="973"/>
    <n v="236000"/>
    <n v="11500000"/>
    <n v="65"/>
    <n v="3.8"/>
    <s v="Tuesday"/>
    <x v="1"/>
    <n v="14552.929085303187"/>
    <x v="1"/>
    <n v="2.436864406779661E-2"/>
  </r>
  <r>
    <n v="619"/>
    <x v="617"/>
    <x v="3"/>
    <x v="0"/>
    <s v="Just Chatting"/>
    <s v="FINAL FANTASY XIV ONLINE"/>
    <n v="5.8"/>
    <n v="280"/>
    <n v="4772"/>
    <n v="1.3"/>
    <n v="13512"/>
    <n v="67600"/>
    <n v="11200000"/>
    <n v="335"/>
    <n v="5.9"/>
    <s v="Sunday"/>
    <x v="1"/>
    <n v="300.17761989342807"/>
    <x v="1"/>
    <n v="7.0591715976331362E-2"/>
  </r>
  <r>
    <n v="620"/>
    <x v="618"/>
    <x v="4"/>
    <x v="0"/>
    <s v="Counter-Strike"/>
    <s v="Just Chatting"/>
    <n v="4"/>
    <n v="1167"/>
    <n v="0"/>
    <n v="2.1"/>
    <n v="144"/>
    <n v="454000"/>
    <n v="0"/>
    <n v="71"/>
    <n v="3.8"/>
    <s v="Saturday"/>
    <x v="1"/>
    <n v="189166.66666666669"/>
    <x v="0"/>
    <n v="0"/>
  </r>
  <r>
    <n v="621"/>
    <x v="619"/>
    <x v="0"/>
    <x v="0"/>
    <s v="Just Chatting"/>
    <s v="Call of Duty: Warzone"/>
    <n v="4.7"/>
    <n v="5400"/>
    <n v="6655"/>
    <n v="1.5"/>
    <n v="4963"/>
    <n v="616000"/>
    <n v="7590000"/>
    <n v="27"/>
    <n v="4.2"/>
    <s v="Monday"/>
    <x v="1"/>
    <n v="7447.1086036671368"/>
    <x v="1"/>
    <n v="1.0803571428571428E-2"/>
  </r>
  <r>
    <n v="622"/>
    <x v="620"/>
    <x v="0"/>
    <x v="0"/>
    <s v="Just Chatting"/>
    <s v="HELLDIVERS 2"/>
    <n v="5.2"/>
    <n v="1398"/>
    <n v="0"/>
    <n v="1.9"/>
    <n v="8410"/>
    <n v="218000"/>
    <n v="0"/>
    <n v="45"/>
    <n v="5"/>
    <s v="Thursday"/>
    <x v="2"/>
    <n v="1555.2913198573128"/>
    <x v="1"/>
    <n v="0"/>
  </r>
  <r>
    <n v="623"/>
    <x v="621"/>
    <x v="1"/>
    <x v="0"/>
    <s v="Just Chatting"/>
    <s v="Grand Theft Auto V"/>
    <n v="5.6"/>
    <n v="163"/>
    <n v="46649"/>
    <n v="1.9"/>
    <n v="11573"/>
    <n v="3220000"/>
    <n v="92200000"/>
    <n v="163"/>
    <n v="5.3"/>
    <s v="Monday"/>
    <x v="2"/>
    <n v="16694.029205910309"/>
    <x v="1"/>
    <n v="1.4487267080745341E-2"/>
  </r>
  <r>
    <n v="624"/>
    <x v="622"/>
    <x v="3"/>
    <x v="0"/>
    <s v="Sports"/>
    <s v="Sports"/>
    <n v="2.9"/>
    <n v="2470"/>
    <n v="15787"/>
    <n v="1.1000000000000001"/>
    <n v="9750"/>
    <n v="90200"/>
    <n v="5620000"/>
    <n v="8"/>
    <n v="1.8"/>
    <s v="Wednesday"/>
    <x v="6"/>
    <n v="555.07692307692309"/>
    <x v="1"/>
    <n v="0.17502217294900221"/>
  </r>
  <r>
    <n v="625"/>
    <x v="623"/>
    <x v="7"/>
    <x v="0"/>
    <s v="League of Legends"/>
    <s v="Just Chatting"/>
    <n v="5.3"/>
    <n v="1398"/>
    <n v="81549"/>
    <n v="1.8"/>
    <n v="8884"/>
    <n v="1840000"/>
    <n v="107000000"/>
    <n v="79"/>
    <n v="4.2"/>
    <s v="Tuesday"/>
    <x v="4"/>
    <n v="12426.834759117515"/>
    <x v="1"/>
    <n v="4.4320108695652172E-2"/>
  </r>
  <r>
    <n v="626"/>
    <x v="624"/>
    <x v="0"/>
    <x v="0"/>
    <s v="Music"/>
    <s v="Assassin's Creed Valhalla"/>
    <n v="2.2999999999999998"/>
    <n v="50"/>
    <n v="7300"/>
    <n v="1.1000000000000001"/>
    <n v="109"/>
    <n v="2400"/>
    <n v="348000"/>
    <n v="76"/>
    <n v="2.2000000000000002"/>
    <s v="Wednesday"/>
    <x v="6"/>
    <n v="1321.1009174311928"/>
    <x v="1"/>
    <n v="3.0416666666666665"/>
  </r>
  <r>
    <n v="627"/>
    <x v="625"/>
    <x v="2"/>
    <x v="0"/>
    <s v="Call of Duty: Warzone"/>
    <s v="VALORANT"/>
    <n v="4.3"/>
    <n v="2930"/>
    <n v="3634"/>
    <n v="1.6"/>
    <n v="4625"/>
    <n v="298000"/>
    <n v="3570000"/>
    <n v="93"/>
    <n v="3"/>
    <s v="Tuesday"/>
    <x v="0"/>
    <n v="3865.9459459459463"/>
    <x v="1"/>
    <n v="1.2194630872483221E-2"/>
  </r>
  <r>
    <n v="628"/>
    <x v="626"/>
    <x v="0"/>
    <x v="0"/>
    <s v="World of Tanks"/>
    <s v="Resident Evil 4"/>
    <n v="7.5"/>
    <n v="1380"/>
    <n v="9181"/>
    <n v="1"/>
    <n v="16166"/>
    <n v="331000"/>
    <n v="21800000"/>
    <n v="3"/>
    <n v="5.5"/>
    <s v="Tuesday"/>
    <x v="0"/>
    <n v="1228.5042682172461"/>
    <x v="1"/>
    <n v="2.773716012084592E-2"/>
  </r>
  <r>
    <n v="629"/>
    <x v="627"/>
    <x v="7"/>
    <x v="0"/>
    <s v="VALORANT"/>
    <s v="ELDEN RING"/>
    <n v="8"/>
    <n v="2970"/>
    <n v="3590"/>
    <n v="1.6"/>
    <n v="8152"/>
    <n v="296000"/>
    <n v="359000"/>
    <n v="217"/>
    <n v="3.2"/>
    <s v="Monday"/>
    <x v="4"/>
    <n v="2178.6064769381746"/>
    <x v="1"/>
    <n v="1.2128378378378378E-2"/>
  </r>
  <r>
    <n v="630"/>
    <x v="628"/>
    <x v="2"/>
    <x v="0"/>
    <s v="League of Legends"/>
    <s v="Rocket League"/>
    <n v="5.3"/>
    <n v="1510"/>
    <n v="4598"/>
    <n v="1"/>
    <n v="6063"/>
    <n v="201000"/>
    <n v="6130000"/>
    <n v="15"/>
    <n v="3.2"/>
    <s v="Monday"/>
    <x v="2"/>
    <n v="1989.1142998515586"/>
    <x v="1"/>
    <n v="2.2875621890547263E-2"/>
  </r>
  <r>
    <n v="631"/>
    <x v="629"/>
    <x v="9"/>
    <x v="0"/>
    <s v="Just Chatting"/>
    <s v="Counter-Strike"/>
    <n v="5.8"/>
    <n v="6940"/>
    <n v="5500"/>
    <n v="1.6"/>
    <n v="1724"/>
    <n v="231000"/>
    <n v="183000"/>
    <n v="34"/>
    <n v="1.7"/>
    <s v="Sunday"/>
    <x v="0"/>
    <n v="8039.4431554524363"/>
    <x v="1"/>
    <n v="2.3809523809523808E-2"/>
  </r>
  <r>
    <n v="632"/>
    <x v="630"/>
    <x v="0"/>
    <x v="0"/>
    <s v="Animals Aquariums and Zoos"/>
    <m/>
    <n v="23.9"/>
    <n v="3710"/>
    <n v="0"/>
    <n v="1"/>
    <n v="10655"/>
    <n v="85900"/>
    <n v="0"/>
    <n v="1"/>
    <n v="7"/>
    <s v="Thursday"/>
    <x v="2"/>
    <n v="483.71656499296103"/>
    <x v="1"/>
    <n v="0"/>
  </r>
  <r>
    <n v="633"/>
    <x v="631"/>
    <x v="0"/>
    <x v="0"/>
    <s v="Escape from Tarkov"/>
    <s v="DayZ"/>
    <n v="7.2"/>
    <n v="1700"/>
    <n v="4904"/>
    <n v="1.1000000000000001"/>
    <n v="15497"/>
    <n v="390000"/>
    <n v="11200000"/>
    <n v="77"/>
    <n v="6.1"/>
    <s v="Monday"/>
    <x v="1"/>
    <n v="1509.9696715493319"/>
    <x v="1"/>
    <n v="1.2574358974358974E-2"/>
  </r>
  <r>
    <n v="634"/>
    <x v="632"/>
    <x v="0"/>
    <x v="0"/>
    <s v="Path of Exile"/>
    <s v="Lost Ark"/>
    <n v="9.8000000000000007"/>
    <n v="1150"/>
    <n v="12454"/>
    <n v="1.1000000000000001"/>
    <n v="23204"/>
    <n v="432000"/>
    <n v="48200000"/>
    <n v="111"/>
    <n v="6.7"/>
    <s v="Friday"/>
    <x v="1"/>
    <n v="1117.0487846922945"/>
    <x v="1"/>
    <n v="2.8828703703703704E-2"/>
  </r>
  <r>
    <n v="635"/>
    <x v="633"/>
    <x v="2"/>
    <x v="0"/>
    <s v="Just Chatting"/>
    <s v="Monster Hunter: World"/>
    <n v="7.7"/>
    <n v="530"/>
    <n v="6913"/>
    <n v="1.5"/>
    <n v="15535"/>
    <n v="109000"/>
    <n v="14200000"/>
    <n v="631"/>
    <n v="6.1"/>
    <s v="Sunday"/>
    <x v="1"/>
    <n v="420.98487286771802"/>
    <x v="1"/>
    <n v="6.3422018348623849E-2"/>
  </r>
  <r>
    <n v="636"/>
    <x v="634"/>
    <x v="4"/>
    <x v="0"/>
    <s v="Casino"/>
    <m/>
    <n v="16.3"/>
    <n v="120"/>
    <n v="0"/>
    <n v="1"/>
    <n v="650"/>
    <n v="23"/>
    <n v="0"/>
    <n v="1"/>
    <n v="2.5"/>
    <s v="Thursday"/>
    <x v="0"/>
    <n v="2.1230769230769231"/>
    <x v="1"/>
    <n v="0"/>
  </r>
  <r>
    <n v="637"/>
    <x v="635"/>
    <x v="0"/>
    <x v="0"/>
    <s v="Call of Duty: Warzone"/>
    <s v="Call of Duty: Modern Warfare III"/>
    <n v="6.2"/>
    <n v="4020"/>
    <n v="9730"/>
    <n v="1.1000000000000001"/>
    <n v="6473"/>
    <n v="428000"/>
    <n v="1040000"/>
    <n v="18"/>
    <n v="5.6"/>
    <s v="Sunday"/>
    <x v="1"/>
    <n v="3967.2485709871771"/>
    <x v="1"/>
    <n v="2.2733644859813083E-2"/>
  </r>
  <r>
    <n v="638"/>
    <x v="636"/>
    <x v="7"/>
    <x v="0"/>
    <s v="League of Legends"/>
    <s v="VALORANT"/>
    <n v="4"/>
    <n v="8620"/>
    <n v="10706"/>
    <n v="1.2"/>
    <n v="1923"/>
    <n v="334000"/>
    <n v="4150000"/>
    <n v="21"/>
    <n v="1.2"/>
    <s v="Thursday"/>
    <x v="1"/>
    <n v="10421.216848673948"/>
    <x v="1"/>
    <n v="3.2053892215568862E-2"/>
  </r>
  <r>
    <n v="639"/>
    <x v="637"/>
    <x v="3"/>
    <x v="0"/>
    <s v="Teamfight Tactics"/>
    <s v="League of Legends"/>
    <n v="4.8"/>
    <n v="2550"/>
    <n v="11892"/>
    <n v="1.9"/>
    <n v="8609"/>
    <n v="479000"/>
    <n v="22300000"/>
    <n v="468"/>
    <n v="5.0999999999999996"/>
    <s v="Sunday"/>
    <x v="1"/>
    <n v="3338.3668254152635"/>
    <x v="1"/>
    <n v="2.4826722338204592E-2"/>
  </r>
  <r>
    <n v="640"/>
    <x v="638"/>
    <x v="4"/>
    <x v="0"/>
    <s v="Dota 2"/>
    <s v="Counter-Strike"/>
    <n v="4"/>
    <n v="1290"/>
    <n v="46619"/>
    <n v="1.3"/>
    <n v="1997"/>
    <n v="71600"/>
    <n v="26500000"/>
    <n v="15"/>
    <n v="1.8"/>
    <s v="Monday"/>
    <x v="2"/>
    <n v="2151.2268402603909"/>
    <x v="1"/>
    <n v="0.65110335195530722"/>
  </r>
  <r>
    <n v="641"/>
    <x v="639"/>
    <x v="3"/>
    <x v="0"/>
    <s v="Grand Theft Auto V"/>
    <s v="Just Chatting"/>
    <n v="4.7"/>
    <n v="3300"/>
    <n v="2658"/>
    <n v="2.2000000000000002"/>
    <n v="5085"/>
    <n v="318000"/>
    <n v="2570000"/>
    <n v="95"/>
    <n v="2.8"/>
    <s v="Tuesday"/>
    <x v="4"/>
    <n v="3752.212389380531"/>
    <x v="0"/>
    <n v="8.3584905660377355E-3"/>
  </r>
  <r>
    <n v="642"/>
    <x v="640"/>
    <x v="0"/>
    <x v="0"/>
    <s v="Virtual Casino"/>
    <m/>
    <n v="2.9"/>
    <n v="10"/>
    <n v="0"/>
    <n v="1"/>
    <n v="320"/>
    <n v="30000"/>
    <n v="0"/>
    <n v="1"/>
    <n v="1.6"/>
    <s v="Tuesday"/>
    <x v="6"/>
    <n v="5625"/>
    <x v="1"/>
    <n v="0"/>
  </r>
  <r>
    <n v="643"/>
    <x v="641"/>
    <x v="0"/>
    <x v="0"/>
    <s v="Diablo III"/>
    <s v="Diablo IV"/>
    <n v="7.7"/>
    <n v="2070"/>
    <n v="6323"/>
    <n v="1.2"/>
    <n v="13297"/>
    <n v="360000"/>
    <n v="11300000"/>
    <n v="48"/>
    <n v="4.4000000000000004"/>
    <s v="Saturday"/>
    <x v="2"/>
    <n v="1624.4265623824922"/>
    <x v="1"/>
    <n v="1.7563888888888889E-2"/>
  </r>
  <r>
    <n v="644"/>
    <x v="642"/>
    <x v="11"/>
    <x v="0"/>
    <s v="Dota 2"/>
    <s v="Sports"/>
    <n v="13.1"/>
    <n v="1770"/>
    <n v="0"/>
    <n v="1"/>
    <n v="4845"/>
    <n v="99900"/>
    <n v="286"/>
    <n v="3"/>
    <n v="3.4"/>
    <s v="Sunday"/>
    <x v="1"/>
    <n v="1237.1517027863777"/>
    <x v="1"/>
    <n v="0"/>
  </r>
  <r>
    <n v="645"/>
    <x v="643"/>
    <x v="9"/>
    <x v="0"/>
    <s v="Just Chatting"/>
    <s v="League of Legends"/>
    <n v="4.5999999999999996"/>
    <n v="8010"/>
    <n v="20163"/>
    <n v="2"/>
    <n v="3462"/>
    <n v="461000"/>
    <n v="11600000"/>
    <n v="119"/>
    <n v="2.2000000000000002"/>
    <s v="Friday"/>
    <x v="1"/>
    <n v="7989.6013864818024"/>
    <x v="1"/>
    <n v="4.3737527114967464E-2"/>
  </r>
  <r>
    <n v="646"/>
    <x v="644"/>
    <x v="0"/>
    <x v="0"/>
    <s v="Tom Clancy's Rainbow Six Siege"/>
    <s v="Variety"/>
    <n v="3.5"/>
    <n v="9670"/>
    <n v="6158"/>
    <n v="1.1000000000000001"/>
    <n v="1822"/>
    <n v="512000"/>
    <n v="3260000"/>
    <n v="21"/>
    <n v="1.9"/>
    <s v="Saturday"/>
    <x v="2"/>
    <n v="16860.592755214049"/>
    <x v="1"/>
    <n v="1.2027343750000001E-2"/>
  </r>
  <r>
    <n v="647"/>
    <x v="645"/>
    <x v="1"/>
    <x v="0"/>
    <s v="Just Chatting"/>
    <s v="Food &amp; Drink"/>
    <n v="4.5"/>
    <n v="2104"/>
    <n v="26495"/>
    <n v="2.2000000000000002"/>
    <n v="7725"/>
    <n v="3360000"/>
    <n v="42300000"/>
    <n v="183"/>
    <n v="4.8"/>
    <s v="Wednesday"/>
    <x v="1"/>
    <n v="26097.087378640776"/>
    <x v="0"/>
    <n v="7.8854166666666673E-3"/>
  </r>
  <r>
    <n v="648"/>
    <x v="646"/>
    <x v="8"/>
    <x v="0"/>
    <s v="Sports"/>
    <s v="Talk Shows &amp; Podcasts"/>
    <n v="2.5"/>
    <n v="2550"/>
    <n v="1610"/>
    <n v="1"/>
    <n v="4740"/>
    <n v="59100"/>
    <n v="37100"/>
    <n v="3"/>
    <n v="1.2"/>
    <s v="Monday"/>
    <x v="2"/>
    <n v="748.10126582278485"/>
    <x v="1"/>
    <n v="2.72419627749577E-2"/>
  </r>
  <r>
    <n v="649"/>
    <x v="647"/>
    <x v="2"/>
    <x v="0"/>
    <s v="League of Legends"/>
    <s v="Path of Exile"/>
    <n v="4.9000000000000004"/>
    <n v="3550"/>
    <n v="22342"/>
    <n v="1.2"/>
    <n v="569"/>
    <n v="447000"/>
    <n v="26900000"/>
    <n v="78"/>
    <n v="3"/>
    <s v="Sunday"/>
    <x v="0"/>
    <n v="47135.325131810197"/>
    <x v="1"/>
    <n v="4.9982102908277405E-2"/>
  </r>
  <r>
    <n v="650"/>
    <x v="648"/>
    <x v="1"/>
    <x v="0"/>
    <s v="Brawl Stars"/>
    <s v="Fall Guys"/>
    <n v="2.6"/>
    <n v="5010"/>
    <n v="178"/>
    <n v="1"/>
    <n v="2812"/>
    <n v="554000"/>
    <n v="1970000"/>
    <n v="15"/>
    <n v="5.0999999999999996"/>
    <s v="Tuesday"/>
    <x v="2"/>
    <n v="11820.76813655761"/>
    <x v="1"/>
    <n v="3.2129963898916967E-4"/>
  </r>
  <r>
    <n v="651"/>
    <x v="649"/>
    <x v="1"/>
    <x v="0"/>
    <s v="Just Chatting"/>
    <m/>
    <n v="1.4"/>
    <n v="4203"/>
    <n v="0"/>
    <n v="1"/>
    <n v="690"/>
    <n v="207000"/>
    <n v="0"/>
    <n v="1"/>
    <n v="2.9"/>
    <s v="Monday"/>
    <x v="0"/>
    <n v="18000"/>
    <x v="1"/>
    <n v="0"/>
  </r>
  <r>
    <n v="652"/>
    <x v="650"/>
    <x v="7"/>
    <x v="0"/>
    <s v="League of Legends"/>
    <s v="Teamfight Tactics"/>
    <n v="6.9"/>
    <n v="4750"/>
    <n v="31951"/>
    <n v="1.6"/>
    <n v="1316"/>
    <n v="897000"/>
    <n v="60800000"/>
    <n v="90"/>
    <n v="4.8"/>
    <s v="Saturday"/>
    <x v="5"/>
    <n v="40896.656534954403"/>
    <x v="1"/>
    <n v="3.5619843924191749E-2"/>
  </r>
  <r>
    <n v="653"/>
    <x v="651"/>
    <x v="0"/>
    <x v="0"/>
    <s v="Destiny 2"/>
    <s v="Destiny"/>
    <n v="12.9"/>
    <n v="2476"/>
    <n v="387406"/>
    <n v="4.0999999999999996"/>
    <n v="1407"/>
    <n v="236000"/>
    <n v="32000000"/>
    <n v="126"/>
    <n v="0.3"/>
    <s v="Friday"/>
    <x v="6"/>
    <n v="10063.965884861407"/>
    <x v="0"/>
    <n v="1.641550847457627"/>
  </r>
  <r>
    <n v="654"/>
    <x v="652"/>
    <x v="0"/>
    <x v="1"/>
    <s v="League of Legends"/>
    <s v="Teamfight Tactics"/>
    <n v="6.1"/>
    <n v="3630"/>
    <n v="22513"/>
    <n v="1"/>
    <n v="9609"/>
    <n v="659000"/>
    <n v="40100000"/>
    <n v="21"/>
    <n v="4"/>
    <s v="Sunday"/>
    <x v="0"/>
    <n v="4114.8922884795502"/>
    <x v="1"/>
    <n v="3.4162367223065253E-2"/>
  </r>
  <r>
    <n v="655"/>
    <x v="653"/>
    <x v="10"/>
    <x v="0"/>
    <s v="Knight Online"/>
    <s v="Rise Online"/>
    <n v="4.8"/>
    <n v="750"/>
    <n v="2410"/>
    <n v="1.2"/>
    <n v="3831"/>
    <n v="62000"/>
    <n v="199000"/>
    <n v="11"/>
    <n v="5.8"/>
    <s v="Tuesday"/>
    <x v="1"/>
    <n v="971.02584181675797"/>
    <x v="1"/>
    <n v="3.8870967741935485E-2"/>
  </r>
  <r>
    <n v="656"/>
    <x v="654"/>
    <x v="11"/>
    <x v="0"/>
    <s v="Counter-Strike"/>
    <s v="EA Sports FC 24"/>
    <n v="8.8000000000000007"/>
    <n v="3720"/>
    <n v="4070"/>
    <n v="1"/>
    <n v="3944"/>
    <n v="186000"/>
    <n v="203000"/>
    <n v="3"/>
    <n v="4"/>
    <s v="Saturday"/>
    <x v="1"/>
    <n v="2829.6146044624747"/>
    <x v="1"/>
    <n v="2.1881720430107526E-2"/>
  </r>
  <r>
    <n v="657"/>
    <x v="655"/>
    <x v="2"/>
    <x v="0"/>
    <s v="Rocket League"/>
    <s v="VALORANT"/>
    <n v="1.8"/>
    <n v="7670"/>
    <n v="2380"/>
    <n v="1.2"/>
    <n v="2420"/>
    <n v="91400"/>
    <n v="28500"/>
    <n v="8"/>
    <n v="0.9"/>
    <s v="Tuesday"/>
    <x v="3"/>
    <n v="2266.1157024793388"/>
    <x v="1"/>
    <n v="2.6039387308533918E-2"/>
  </r>
  <r>
    <n v="658"/>
    <x v="656"/>
    <x v="5"/>
    <x v="0"/>
    <s v="Street Fighter 6"/>
    <s v="Apex Legends"/>
    <n v="3.4"/>
    <n v="2590"/>
    <n v="1488"/>
    <n v="1.1000000000000001"/>
    <n v="2115"/>
    <n v="193000"/>
    <n v="1100000"/>
    <n v="54"/>
    <n v="2.9"/>
    <s v="Friday"/>
    <x v="1"/>
    <n v="5475.177304964539"/>
    <x v="1"/>
    <n v="7.7098445595854921E-3"/>
  </r>
  <r>
    <n v="659"/>
    <x v="657"/>
    <x v="0"/>
    <x v="0"/>
    <s v="Grand Theft Auto V"/>
    <s v="Just Chatting"/>
    <n v="5.8"/>
    <n v="5970"/>
    <n v="7240"/>
    <n v="1.8"/>
    <n v="2221"/>
    <n v="217000"/>
    <n v="264000"/>
    <n v="39"/>
    <n v="2.1"/>
    <s v="Wednesday"/>
    <x v="5"/>
    <n v="5862.224223322828"/>
    <x v="1"/>
    <n v="3.3364055299539168E-2"/>
  </r>
  <r>
    <n v="660"/>
    <x v="658"/>
    <x v="7"/>
    <x v="0"/>
    <s v="Virtual Casino"/>
    <s v="Slots"/>
    <n v="18.7"/>
    <n v="410"/>
    <n v="0"/>
    <n v="1.6"/>
    <n v="1120"/>
    <n v="1500"/>
    <n v="0"/>
    <n v="2"/>
    <n v="1.6"/>
    <s v="Tuesday"/>
    <x v="0"/>
    <n v="80.357142857142847"/>
    <x v="1"/>
    <n v="0"/>
  </r>
  <r>
    <n v="661"/>
    <x v="659"/>
    <x v="2"/>
    <x v="0"/>
    <s v="Just Chatting"/>
    <s v="Variety"/>
    <n v="4"/>
    <n v="6710"/>
    <n v="1149"/>
    <n v="1.1000000000000001"/>
    <n v="2437"/>
    <n v="433000"/>
    <n v="741000"/>
    <n v="17"/>
    <n v="2.7"/>
    <s v="Wednesday"/>
    <x v="1"/>
    <n v="10660.64833812064"/>
    <x v="1"/>
    <n v="2.6535796766743651E-3"/>
  </r>
  <r>
    <n v="662"/>
    <x v="660"/>
    <x v="7"/>
    <x v="0"/>
    <s v="FIFA 22"/>
    <s v="FIFA 23"/>
    <n v="5.6"/>
    <n v="2230"/>
    <n v="1254"/>
    <n v="1.1000000000000001"/>
    <n v="6622"/>
    <n v="285000"/>
    <n v="1600000"/>
    <n v="13"/>
    <n v="5.6"/>
    <s v="Friday"/>
    <x v="1"/>
    <n v="2582.3014195107221"/>
    <x v="1"/>
    <n v="4.4000000000000003E-3"/>
  </r>
  <r>
    <n v="663"/>
    <x v="661"/>
    <x v="0"/>
    <x v="0"/>
    <s v="Just Chatting"/>
    <s v="ELDEN RING"/>
    <n v="2.9"/>
    <n v="2140"/>
    <n v="6030"/>
    <n v="1.8"/>
    <n v="27"/>
    <n v="163000"/>
    <n v="460000"/>
    <n v="178"/>
    <n v="2.9"/>
    <s v="Sunday"/>
    <x v="4"/>
    <n v="362222.22222222219"/>
    <x v="1"/>
    <n v="3.6993865030674845E-2"/>
  </r>
  <r>
    <n v="664"/>
    <x v="662"/>
    <x v="1"/>
    <x v="0"/>
    <s v="Call of Duty: Warzone"/>
    <s v="Call of Duty: Modern Warfare II"/>
    <n v="2.5"/>
    <n v="5530"/>
    <n v="3862"/>
    <n v="1.1000000000000001"/>
    <n v="2153"/>
    <n v="589000"/>
    <n v="3850000"/>
    <n v="71"/>
    <n v="5.2"/>
    <s v="Saturday"/>
    <x v="1"/>
    <n v="16414.305620065024"/>
    <x v="1"/>
    <n v="6.5568760611205432E-3"/>
  </r>
  <r>
    <n v="665"/>
    <x v="663"/>
    <x v="6"/>
    <x v="0"/>
    <s v="League of Legends"/>
    <s v="Just Chatting"/>
    <n v="5.2"/>
    <n v="960"/>
    <n v="9655"/>
    <n v="1.5"/>
    <n v="6407"/>
    <n v="132000"/>
    <n v="13300000"/>
    <n v="89"/>
    <n v="3.6"/>
    <s v="Tuesday"/>
    <x v="2"/>
    <n v="1236.147963165288"/>
    <x v="1"/>
    <n v="7.31439393939394E-2"/>
  </r>
  <r>
    <n v="666"/>
    <x v="664"/>
    <x v="4"/>
    <x v="0"/>
    <s v="Casino"/>
    <m/>
    <n v="6"/>
    <n v="0"/>
    <n v="0"/>
    <n v="1"/>
    <n v="60"/>
    <n v="0"/>
    <n v="0"/>
    <n v="1"/>
    <n v="0.2"/>
    <s v="Thursday"/>
    <x v="2"/>
    <n v="0"/>
    <x v="1"/>
    <e v="#DIV/0!"/>
  </r>
  <r>
    <n v="667"/>
    <x v="665"/>
    <x v="7"/>
    <x v="0"/>
    <s v="Virtual Casino"/>
    <s v="Slots"/>
    <n v="12.9"/>
    <n v="110"/>
    <n v="0"/>
    <n v="1.5"/>
    <n v="260"/>
    <n v="1300"/>
    <n v="0"/>
    <n v="2"/>
    <n v="0.7"/>
    <s v="Monday"/>
    <x v="4"/>
    <n v="300"/>
    <x v="1"/>
    <n v="0"/>
  </r>
  <r>
    <n v="668"/>
    <x v="666"/>
    <x v="2"/>
    <x v="1"/>
    <s v="Overwatch"/>
    <s v="Just Chatting"/>
    <n v="5.4"/>
    <n v="3670"/>
    <n v="25016"/>
    <n v="1.6"/>
    <n v="9101"/>
    <n v="623000"/>
    <n v="40900000"/>
    <n v="356"/>
    <n v="4.3"/>
    <s v="Friday"/>
    <x v="1"/>
    <n v="4107.2409625315895"/>
    <x v="1"/>
    <n v="4.0154093097913325E-2"/>
  </r>
  <r>
    <n v="669"/>
    <x v="667"/>
    <x v="4"/>
    <x v="0"/>
    <s v="Just Chatting"/>
    <s v="Space Station 13"/>
    <n v="5.3"/>
    <n v="4180"/>
    <n v="21509"/>
    <n v="2.6"/>
    <n v="3007"/>
    <n v="242000"/>
    <n v="12000000"/>
    <n v="239"/>
    <n v="1.9"/>
    <s v="Thursday"/>
    <x v="1"/>
    <n v="4828.7329564349848"/>
    <x v="0"/>
    <n v="8.8880165289256199E-2"/>
  </r>
  <r>
    <n v="670"/>
    <x v="668"/>
    <x v="0"/>
    <x v="0"/>
    <s v="Just Chatting"/>
    <s v="Black Desert"/>
    <n v="4.9000000000000004"/>
    <n v="7510"/>
    <n v="7055"/>
    <n v="1.8"/>
    <n v="3496"/>
    <n v="484000"/>
    <n v="4550000"/>
    <n v="214"/>
    <n v="2.2000000000000002"/>
    <s v="Friday"/>
    <x v="6"/>
    <n v="8306.6361556064076"/>
    <x v="1"/>
    <n v="1.4576446280991735E-2"/>
  </r>
  <r>
    <n v="671"/>
    <x v="669"/>
    <x v="4"/>
    <x v="0"/>
    <s v="Path of Exile"/>
    <s v="PUBG: BATTLEGROUNDS"/>
    <n v="8.9"/>
    <n v="1510"/>
    <n v="20014"/>
    <n v="1.9"/>
    <n v="22635"/>
    <n v="408000"/>
    <n v="53800000"/>
    <n v="367"/>
    <n v="6.5"/>
    <s v="Thursday"/>
    <x v="5"/>
    <n v="1081.5109343936381"/>
    <x v="1"/>
    <n v="4.9053921568627451E-2"/>
  </r>
  <r>
    <n v="672"/>
    <x v="670"/>
    <x v="0"/>
    <x v="0"/>
    <s v="Minecraft"/>
    <s v="Phasmophobia"/>
    <n v="2.8"/>
    <n v="4460"/>
    <n v="2947"/>
    <n v="1"/>
    <n v="2387"/>
    <n v="362000"/>
    <n v="2360000"/>
    <n v="42"/>
    <n v="3.4"/>
    <s v="Friday"/>
    <x v="1"/>
    <n v="9099.2878089652295"/>
    <x v="1"/>
    <n v="8.140883977900552E-3"/>
  </r>
  <r>
    <n v="673"/>
    <x v="671"/>
    <x v="2"/>
    <x v="0"/>
    <s v="Just Chatting"/>
    <s v="Special Events"/>
    <n v="2.7"/>
    <n v="7100"/>
    <n v="16542"/>
    <n v="1.1000000000000001"/>
    <n v="2540"/>
    <n v="65500"/>
    <n v="1520000"/>
    <n v="11"/>
    <n v="0.3"/>
    <s v="Monday"/>
    <x v="3"/>
    <n v="1547.2440944881889"/>
    <x v="1"/>
    <n v="0.25254961832061068"/>
  </r>
  <r>
    <n v="674"/>
    <x v="672"/>
    <x v="0"/>
    <x v="0"/>
    <s v="Just Chatting"/>
    <s v="Star Citizen"/>
    <n v="9.4"/>
    <n v="1050"/>
    <n v="13541"/>
    <n v="1.9"/>
    <n v="21547"/>
    <n v="325000"/>
    <n v="35200000"/>
    <n v="1193"/>
    <n v="5.8"/>
    <s v="Saturday"/>
    <x v="2"/>
    <n v="904.99837564394113"/>
    <x v="1"/>
    <n v="4.1664615384615383E-2"/>
  </r>
  <r>
    <n v="675"/>
    <x v="673"/>
    <x v="6"/>
    <x v="0"/>
    <s v="Just Chatting"/>
    <s v="Apex Legends"/>
    <n v="6.3"/>
    <n v="1090"/>
    <n v="5038"/>
    <n v="1.7"/>
    <n v="89"/>
    <n v="156000"/>
    <n v="7160000"/>
    <n v="285"/>
    <n v="5.7"/>
    <s v="Sunday"/>
    <x v="1"/>
    <n v="105168.53932584269"/>
    <x v="1"/>
    <n v="3.2294871794871796E-2"/>
  </r>
  <r>
    <n v="676"/>
    <x v="674"/>
    <x v="4"/>
    <x v="0"/>
    <s v="Casino"/>
    <m/>
    <n v="4.0999999999999996"/>
    <n v="70"/>
    <n v="0"/>
    <n v="1"/>
    <n v="80"/>
    <n v="7"/>
    <n v="0"/>
    <n v="1"/>
    <n v="2"/>
    <s v="Tuesday"/>
    <x v="4"/>
    <n v="5.25"/>
    <x v="1"/>
    <n v="0"/>
  </r>
  <r>
    <n v="677"/>
    <x v="675"/>
    <x v="6"/>
    <x v="0"/>
    <s v="FINAL FANTASY XIV ONLINE"/>
    <s v="Just Chatting"/>
    <n v="8.6"/>
    <n v="780"/>
    <n v="15157"/>
    <n v="1.5"/>
    <n v="20019"/>
    <n v="214000"/>
    <n v="39000000"/>
    <n v="233"/>
    <n v="6"/>
    <s v="Thursday"/>
    <x v="1"/>
    <n v="641.39067885508769"/>
    <x v="1"/>
    <n v="7.0827102803738315E-2"/>
  </r>
  <r>
    <n v="678"/>
    <x v="676"/>
    <x v="1"/>
    <x v="0"/>
    <s v="Just Chatting"/>
    <s v="Slots"/>
    <n v="2.1"/>
    <n v="8530"/>
    <n v="156"/>
    <n v="1.4"/>
    <n v="2123"/>
    <n v="766000"/>
    <n v="1400000"/>
    <n v="38"/>
    <n v="3.5"/>
    <s v="Thursday"/>
    <x v="5"/>
    <n v="21648.610456900613"/>
    <x v="1"/>
    <n v="2.0365535248041775E-4"/>
  </r>
  <r>
    <n v="679"/>
    <x v="677"/>
    <x v="4"/>
    <x v="0"/>
    <s v="Just Chatting"/>
    <s v="Counter-Strike"/>
    <n v="3.7"/>
    <n v="3300"/>
    <n v="3182"/>
    <n v="1.7"/>
    <n v="4977"/>
    <n v="545000"/>
    <n v="5240000"/>
    <n v="290"/>
    <n v="3.5"/>
    <s v="Tuesday"/>
    <x v="4"/>
    <n v="6570.2230259192283"/>
    <x v="1"/>
    <n v="5.8385321100917435E-3"/>
  </r>
  <r>
    <n v="680"/>
    <x v="678"/>
    <x v="2"/>
    <x v="0"/>
    <s v="World of Warcraft"/>
    <s v="Just Chatting"/>
    <n v="5.7"/>
    <n v="1720"/>
    <n v="13572"/>
    <n v="1.6"/>
    <n v="15024"/>
    <n v="477000"/>
    <n v="37200000"/>
    <n v="536"/>
    <n v="6.7"/>
    <s v="Thursday"/>
    <x v="2"/>
    <n v="1904.9520766773162"/>
    <x v="1"/>
    <n v="2.8452830188679244E-2"/>
  </r>
  <r>
    <n v="681"/>
    <x v="679"/>
    <x v="1"/>
    <x v="0"/>
    <s v="Just Chatting"/>
    <s v="IRL"/>
    <n v="4.7"/>
    <n v="4460"/>
    <n v="3196"/>
    <n v="1.3"/>
    <n v="4204"/>
    <n v="420000"/>
    <n v="3010000"/>
    <n v="65"/>
    <n v="3.3"/>
    <s v="Tuesday"/>
    <x v="0"/>
    <n v="5994.2911512844912"/>
    <x v="1"/>
    <n v="7.6095238095238099E-3"/>
  </r>
  <r>
    <n v="682"/>
    <x v="680"/>
    <x v="0"/>
    <x v="0"/>
    <s v="ROBLOX"/>
    <s v="League of Legends"/>
    <n v="3.7"/>
    <n v="1367"/>
    <n v="4340"/>
    <n v="1.5"/>
    <n v="2969"/>
    <n v="1110000"/>
    <n v="351000"/>
    <n v="23"/>
    <n v="4.4000000000000004"/>
    <s v="Friday"/>
    <x v="6"/>
    <n v="22431.795217244864"/>
    <x v="1"/>
    <n v="3.90990990990991E-3"/>
  </r>
  <r>
    <n v="683"/>
    <x v="681"/>
    <x v="4"/>
    <x v="0"/>
    <s v="Casino"/>
    <m/>
    <n v="4.9000000000000004"/>
    <n v="10"/>
    <n v="0"/>
    <n v="1"/>
    <n v="100"/>
    <n v="1300"/>
    <n v="0"/>
    <n v="1"/>
    <n v="1.1000000000000001"/>
    <s v="Tuesday"/>
    <x v="6"/>
    <n v="780"/>
    <x v="1"/>
    <n v="0"/>
  </r>
  <r>
    <n v="684"/>
    <x v="682"/>
    <x v="5"/>
    <x v="0"/>
    <s v="PUBG: BATTLEGROUNDS"/>
    <s v="VALORANT"/>
    <n v="4.4000000000000004"/>
    <n v="3860"/>
    <n v="3487"/>
    <n v="1.1000000000000001"/>
    <n v="1211"/>
    <n v="111000"/>
    <n v="1000000"/>
    <n v="14"/>
    <n v="0.9"/>
    <s v="Sunday"/>
    <x v="1"/>
    <n v="5499.5871180842278"/>
    <x v="1"/>
    <n v="3.1414414414414414E-2"/>
  </r>
  <r>
    <n v="685"/>
    <x v="683"/>
    <x v="7"/>
    <x v="0"/>
    <s v="Virtual Casino"/>
    <m/>
    <n v="8.6"/>
    <n v="3820"/>
    <n v="0"/>
    <n v="1"/>
    <n v="170"/>
    <n v="1300"/>
    <n v="0"/>
    <n v="1"/>
    <n v="0.7"/>
    <s v="Tuesday"/>
    <x v="4"/>
    <n v="458.8235294117647"/>
    <x v="1"/>
    <n v="0"/>
  </r>
  <r>
    <n v="686"/>
    <x v="684"/>
    <x v="0"/>
    <x v="0"/>
    <s v="Warcraft III"/>
    <s v="Heroes of the Storm"/>
    <n v="7.1"/>
    <n v="1600"/>
    <n v="15279"/>
    <n v="1.5"/>
    <n v="279"/>
    <n v="628000"/>
    <n v="72000000"/>
    <n v="132"/>
    <n v="6.6"/>
    <s v="Monday"/>
    <x v="1"/>
    <n v="135053.7634408602"/>
    <x v="1"/>
    <n v="2.4329617834394905E-2"/>
  </r>
  <r>
    <n v="687"/>
    <x v="685"/>
    <x v="2"/>
    <x v="0"/>
    <s v="Fortnite"/>
    <s v="VALORANT"/>
    <n v="5"/>
    <n v="1630"/>
    <n v="2917"/>
    <n v="1.4"/>
    <n v="5649"/>
    <n v="224000"/>
    <n v="4019999"/>
    <n v="104"/>
    <n v="3.2"/>
    <s v="Wednesday"/>
    <x v="1"/>
    <n v="2379.1821561338288"/>
    <x v="1"/>
    <n v="1.3022321428571428E-2"/>
  </r>
  <r>
    <n v="688"/>
    <x v="686"/>
    <x v="1"/>
    <x v="0"/>
    <s v="Just Chatting"/>
    <s v="Fortnite"/>
    <n v="3.1"/>
    <n v="8670"/>
    <n v="10442"/>
    <n v="1.9"/>
    <n v="5022"/>
    <n v="1200000"/>
    <n v="14500000"/>
    <n v="360"/>
    <n v="5.0999999999999996"/>
    <s v="Wednesday"/>
    <x v="2"/>
    <n v="14336.917562724015"/>
    <x v="1"/>
    <n v="8.7016666666666666E-3"/>
  </r>
  <r>
    <n v="689"/>
    <x v="687"/>
    <x v="5"/>
    <x v="0"/>
    <s v="VALORANT"/>
    <s v="PUBG: BATTLEGROUNDS"/>
    <n v="4"/>
    <n v="1790"/>
    <n v="3077"/>
    <n v="1.1000000000000001"/>
    <n v="4214"/>
    <n v="232000"/>
    <n v="3980000"/>
    <n v="43"/>
    <n v="2.9"/>
    <s v="Wednesday"/>
    <x v="1"/>
    <n v="3303.2747982914098"/>
    <x v="1"/>
    <n v="1.3262931034482759E-2"/>
  </r>
  <r>
    <n v="690"/>
    <x v="688"/>
    <x v="6"/>
    <x v="0"/>
    <s v="League of Legends"/>
    <s v="Just Chatting"/>
    <n v="7"/>
    <n v="2250"/>
    <n v="76883"/>
    <n v="1.5"/>
    <n v="635"/>
    <n v="565000"/>
    <n v="209000000"/>
    <n v="83"/>
    <n v="2.2999999999999998"/>
    <s v="Sunday"/>
    <x v="1"/>
    <n v="53385.826771653541"/>
    <x v="1"/>
    <n v="0.13607610619469027"/>
  </r>
  <r>
    <n v="691"/>
    <x v="689"/>
    <x v="6"/>
    <x v="0"/>
    <s v="Hearthstone"/>
    <s v="Just Chatting"/>
    <n v="10.199999999999999"/>
    <n v="680"/>
    <n v="33673"/>
    <n v="1.7"/>
    <n v="25104"/>
    <n v="240000"/>
    <n v="105000000"/>
    <n v="327"/>
    <n v="6.3"/>
    <s v="Saturday"/>
    <x v="1"/>
    <n v="573.61376673040161"/>
    <x v="1"/>
    <n v="0.14030416666666667"/>
  </r>
  <r>
    <n v="692"/>
    <x v="690"/>
    <x v="4"/>
    <x v="0"/>
    <s v="Dota 2"/>
    <s v="Heroes Arena"/>
    <n v="5.8"/>
    <n v="2300"/>
    <n v="34737"/>
    <n v="1"/>
    <n v="14575"/>
    <n v="670000"/>
    <n v="87700000"/>
    <n v="2"/>
    <n v="6.4"/>
    <s v="Wednesday"/>
    <x v="0"/>
    <n v="2758.1475128644943"/>
    <x v="1"/>
    <n v="5.1846268656716418E-2"/>
  </r>
  <r>
    <n v="693"/>
    <x v="691"/>
    <x v="5"/>
    <x v="0"/>
    <s v="Overwatch"/>
    <s v="Overwatch 2"/>
    <n v="4.5"/>
    <n v="2240"/>
    <n v="3772"/>
    <n v="1.3"/>
    <n v="5214"/>
    <n v="286000"/>
    <n v="4820000"/>
    <n v="56"/>
    <n v="3.1"/>
    <s v="Tuesday"/>
    <x v="4"/>
    <n v="3291.1392405063289"/>
    <x v="1"/>
    <n v="1.3188811188811189E-2"/>
  </r>
  <r>
    <n v="694"/>
    <x v="692"/>
    <x v="0"/>
    <x v="0"/>
    <s v="Just Chatting"/>
    <s v="Minecraft"/>
    <n v="4.0999999999999996"/>
    <n v="1516"/>
    <n v="1611"/>
    <n v="1.6"/>
    <n v="3941"/>
    <n v="1270000"/>
    <n v="1350000"/>
    <n v="369"/>
    <n v="4.2"/>
    <s v="Saturday"/>
    <x v="6"/>
    <n v="19335.194113169244"/>
    <x v="1"/>
    <n v="1.2685039370078741E-3"/>
  </r>
  <r>
    <n v="695"/>
    <x v="693"/>
    <x v="0"/>
    <x v="0"/>
    <s v="World of Warcraft"/>
    <s v="New World"/>
    <n v="10"/>
    <n v="1560"/>
    <n v="27657"/>
    <n v="1.2"/>
    <n v="25611"/>
    <n v="967000"/>
    <n v="174000000"/>
    <n v="180"/>
    <n v="6.5"/>
    <s v="Thursday"/>
    <x v="3"/>
    <n v="2265.432821834368"/>
    <x v="1"/>
    <n v="2.8600827300930713E-2"/>
  </r>
  <r>
    <n v="696"/>
    <x v="694"/>
    <x v="5"/>
    <x v="0"/>
    <s v="Just Chatting"/>
    <s v="Rust"/>
    <n v="5.8"/>
    <n v="2380"/>
    <n v="650"/>
    <n v="1.4"/>
    <n v="4306"/>
    <n v="255000"/>
    <n v="95100"/>
    <n v="168"/>
    <n v="2.1"/>
    <s v="Wednesday"/>
    <x v="2"/>
    <n v="3553.1816070599166"/>
    <x v="1"/>
    <n v="2.5490196078431374E-3"/>
  </r>
  <r>
    <n v="697"/>
    <x v="695"/>
    <x v="3"/>
    <x v="0"/>
    <s v="Grand Theft Auto V"/>
    <s v="Slots"/>
    <n v="5.3"/>
    <n v="1220"/>
    <n v="3001"/>
    <n v="1.6"/>
    <n v="6239"/>
    <n v="132000"/>
    <n v="3370000"/>
    <n v="54"/>
    <n v="4.5999999999999996"/>
    <s v="Sunday"/>
    <x v="1"/>
    <n v="1269.4342041993909"/>
    <x v="1"/>
    <n v="2.2734848484848486E-2"/>
  </r>
  <r>
    <n v="698"/>
    <x v="696"/>
    <x v="0"/>
    <x v="1"/>
    <s v="Super Smash Bros. Ultimate"/>
    <s v="Super Smash Bros. Melee"/>
    <n v="5.8"/>
    <n v="1950"/>
    <n v="24689"/>
    <n v="1.3"/>
    <n v="13459"/>
    <n v="650000"/>
    <n v="95200000"/>
    <n v="73"/>
    <n v="5.2"/>
    <s v="Wednesday"/>
    <x v="1"/>
    <n v="2897.6892785496693"/>
    <x v="1"/>
    <n v="3.7983076923076925E-2"/>
  </r>
  <r>
    <n v="699"/>
    <x v="697"/>
    <x v="7"/>
    <x v="0"/>
    <s v="PUBG: BATTLEGROUNDS"/>
    <s v="Virtual Casino"/>
    <n v="7.2"/>
    <n v="6110"/>
    <n v="36647"/>
    <n v="1.6"/>
    <n v="16823"/>
    <n v="1290000"/>
    <n v="77900000"/>
    <n v="202"/>
    <n v="6"/>
    <s v="Tuesday"/>
    <x v="1"/>
    <n v="4600.8440825060934"/>
    <x v="1"/>
    <n v="2.8408527131782945E-2"/>
  </r>
  <r>
    <n v="700"/>
    <x v="698"/>
    <x v="0"/>
    <x v="0"/>
    <s v="Fitness &amp; Health"/>
    <s v="Just Chatting"/>
    <n v="4.7"/>
    <n v="9640"/>
    <n v="2190"/>
    <n v="1.5"/>
    <n v="193"/>
    <n v="343000"/>
    <n v="78500"/>
    <n v="94"/>
    <n v="2.2000000000000002"/>
    <s v="Thursday"/>
    <x v="0"/>
    <n v="106632.12435233161"/>
    <x v="1"/>
    <n v="6.3848396501457729E-3"/>
  </r>
  <r>
    <n v="701"/>
    <x v="699"/>
    <x v="5"/>
    <x v="0"/>
    <s v="Apex Legends"/>
    <s v="ARK: Survival Evolved"/>
    <n v="11.2"/>
    <n v="1760"/>
    <n v="13609"/>
    <n v="1.4"/>
    <n v="16528"/>
    <n v="300000"/>
    <n v="23100000"/>
    <n v="206"/>
    <n v="5.4"/>
    <s v="Friday"/>
    <x v="1"/>
    <n v="1089.0609874152954"/>
    <x v="1"/>
    <n v="4.5363333333333332E-2"/>
  </r>
  <r>
    <n v="702"/>
    <x v="700"/>
    <x v="0"/>
    <x v="0"/>
    <s v="Grand Theft Auto V"/>
    <s v="Just Chatting"/>
    <n v="6.1"/>
    <n v="3320"/>
    <n v="10443"/>
    <n v="1.8"/>
    <n v="12039"/>
    <n v="629000"/>
    <n v="19800000"/>
    <n v="384"/>
    <n v="5.0999999999999996"/>
    <s v="Tuesday"/>
    <x v="4"/>
    <n v="3134.8118614502864"/>
    <x v="1"/>
    <n v="1.6602543720190779E-2"/>
  </r>
  <r>
    <n v="703"/>
    <x v="701"/>
    <x v="0"/>
    <x v="0"/>
    <s v="Escape from Tarkov"/>
    <s v="Dungeons &amp; Dragons"/>
    <n v="7.4"/>
    <n v="2990"/>
    <n v="70"/>
    <n v="1.1000000000000001"/>
    <n v="5759"/>
    <n v="216000"/>
    <n v="6100"/>
    <n v="24"/>
    <n v="2.2000000000000002"/>
    <s v="Monday"/>
    <x v="1"/>
    <n v="2250.390692828616"/>
    <x v="1"/>
    <n v="3.2407407407407406E-4"/>
  </r>
  <r>
    <n v="704"/>
    <x v="702"/>
    <x v="4"/>
    <x v="0"/>
    <s v="Just Chatting"/>
    <s v="Minecraft"/>
    <n v="4.7"/>
    <n v="7660"/>
    <n v="209"/>
    <n v="2"/>
    <n v="3721"/>
    <n v="628000"/>
    <n v="1740000"/>
    <n v="109"/>
    <n v="2"/>
    <s v="Tuesday"/>
    <x v="0"/>
    <n v="10126.310131685032"/>
    <x v="1"/>
    <n v="3.3280254777070064E-4"/>
  </r>
  <r>
    <n v="705"/>
    <x v="703"/>
    <x v="15"/>
    <x v="0"/>
    <s v="Just Chatting"/>
    <s v="Minecraft"/>
    <n v="5.5"/>
    <n v="1190"/>
    <n v="2426"/>
    <n v="2.2999999999999998"/>
    <n v="573"/>
    <n v="131000"/>
    <n v="2670000"/>
    <n v="270"/>
    <n v="6.1"/>
    <s v="Monday"/>
    <x v="0"/>
    <n v="13717.277486910994"/>
    <x v="0"/>
    <n v="1.8519083969465649E-2"/>
  </r>
  <r>
    <n v="706"/>
    <x v="704"/>
    <x v="10"/>
    <x v="0"/>
    <s v="PUBG: BATTLEGROUNDS"/>
    <s v="Escape from Tarkov"/>
    <n v="5.4"/>
    <n v="8190"/>
    <n v="4756"/>
    <n v="1.7"/>
    <n v="11158"/>
    <n v="1720000"/>
    <n v="99000000"/>
    <n v="171"/>
    <n v="5.3"/>
    <s v="Friday"/>
    <x v="0"/>
    <n v="9248.9693493457617"/>
    <x v="1"/>
    <n v="2.7651162790697675E-3"/>
  </r>
  <r>
    <n v="707"/>
    <x v="705"/>
    <x v="13"/>
    <x v="0"/>
    <s v="PUBG: BATTLEGROUNDS"/>
    <s v="Grand Theft Auto V"/>
    <n v="6.9"/>
    <n v="1410"/>
    <n v="3661"/>
    <n v="1.5"/>
    <n v="7001"/>
    <n v="172000"/>
    <n v="4510000"/>
    <n v="65"/>
    <n v="2.7"/>
    <s v="Thursday"/>
    <x v="4"/>
    <n v="1474.0751321239823"/>
    <x v="1"/>
    <n v="2.1284883720930233E-2"/>
  </r>
  <r>
    <n v="708"/>
    <x v="706"/>
    <x v="5"/>
    <x v="0"/>
    <s v="Street Fighter 6"/>
    <s v="VALORANT"/>
    <n v="7.4"/>
    <n v="1770"/>
    <n v="0"/>
    <n v="1.8"/>
    <n v="4019"/>
    <n v="115000"/>
    <n v="0"/>
    <n v="33"/>
    <n v="5.5"/>
    <s v="Tuesday"/>
    <x v="1"/>
    <n v="1716.8449863150038"/>
    <x v="1"/>
    <n v="0"/>
  </r>
  <r>
    <n v="709"/>
    <x v="707"/>
    <x v="0"/>
    <x v="0"/>
    <s v="Chess"/>
    <s v="Chess (4)"/>
    <n v="4"/>
    <n v="8470"/>
    <n v="35202"/>
    <n v="1"/>
    <n v="4503"/>
    <n v="1060000"/>
    <n v="44100000"/>
    <n v="13"/>
    <n v="3.5"/>
    <s v="Tuesday"/>
    <x v="2"/>
    <n v="14123.917388407728"/>
    <x v="1"/>
    <n v="3.3209433962264154E-2"/>
  </r>
  <r>
    <n v="710"/>
    <x v="708"/>
    <x v="5"/>
    <x v="0"/>
    <s v="VALORANT"/>
    <s v="League of Legends"/>
    <n v="7.1"/>
    <n v="2130"/>
    <n v="8320"/>
    <n v="1.3"/>
    <n v="5271"/>
    <n v="190000"/>
    <n v="742000"/>
    <n v="56"/>
    <n v="2.2999999999999998"/>
    <s v="Thursday"/>
    <x v="2"/>
    <n v="2162.7774615822427"/>
    <x v="1"/>
    <n v="4.3789473684210524E-2"/>
  </r>
  <r>
    <n v="711"/>
    <x v="709"/>
    <x v="4"/>
    <x v="0"/>
    <s v="Casino"/>
    <m/>
    <n v="7.2"/>
    <n v="-1277"/>
    <n v="0"/>
    <n v="1"/>
    <n v="140"/>
    <n v="0"/>
    <n v="0"/>
    <n v="1"/>
    <n v="1.4"/>
    <s v="Friday"/>
    <x v="3"/>
    <n v="0"/>
    <x v="1"/>
    <e v="#DIV/0!"/>
  </r>
  <r>
    <n v="712"/>
    <x v="710"/>
    <x v="2"/>
    <x v="0"/>
    <s v="Just Chatting"/>
    <s v="Minecraft"/>
    <n v="3"/>
    <n v="6400"/>
    <n v="3666"/>
    <n v="1.5"/>
    <n v="1015"/>
    <n v="216000"/>
    <n v="1240000"/>
    <n v="86"/>
    <n v="1"/>
    <s v="Tuesday"/>
    <x v="1"/>
    <n v="12768.47290640394"/>
    <x v="1"/>
    <n v="1.6972222222222222E-2"/>
  </r>
  <r>
    <n v="713"/>
    <x v="711"/>
    <x v="4"/>
    <x v="0"/>
    <s v="Casino"/>
    <m/>
    <n v="6.5"/>
    <n v="30"/>
    <n v="0"/>
    <n v="1"/>
    <n v="130"/>
    <n v="10400"/>
    <n v="0"/>
    <n v="1"/>
    <n v="1.8"/>
    <s v="Monday"/>
    <x v="2"/>
    <n v="4800"/>
    <x v="1"/>
    <n v="0"/>
  </r>
  <r>
    <n v="714"/>
    <x v="712"/>
    <x v="1"/>
    <x v="0"/>
    <s v="Rust"/>
    <s v="Just Chatting"/>
    <n v="6.2"/>
    <n v="1600"/>
    <n v="5368"/>
    <n v="1.3"/>
    <n v="1059"/>
    <n v="241000"/>
    <n v="8050000"/>
    <n v="70"/>
    <n v="4.4000000000000004"/>
    <s v="Saturday"/>
    <x v="3"/>
    <n v="13654.390934844194"/>
    <x v="1"/>
    <n v="2.2273858921161824E-2"/>
  </r>
  <r>
    <n v="715"/>
    <x v="713"/>
    <x v="3"/>
    <x v="0"/>
    <s v="VALORANT"/>
    <s v="Just Chatting"/>
    <n v="4.7"/>
    <n v="8300"/>
    <n v="3594"/>
    <n v="2.2999999999999998"/>
    <n v="4591"/>
    <n v="800000"/>
    <n v="3460000"/>
    <n v="139"/>
    <n v="3.8"/>
    <s v="Tuesday"/>
    <x v="1"/>
    <n v="10455.238510128513"/>
    <x v="0"/>
    <n v="4.4925E-3"/>
  </r>
  <r>
    <n v="716"/>
    <x v="714"/>
    <x v="0"/>
    <x v="0"/>
    <s v="Just Chatting"/>
    <s v="Minecraft"/>
    <n v="4.2"/>
    <n v="5700"/>
    <n v="570"/>
    <n v="1.7"/>
    <n v="2302"/>
    <n v="232000"/>
    <n v="27300"/>
    <n v="119"/>
    <n v="3.6"/>
    <s v="Saturday"/>
    <x v="0"/>
    <n v="6046.9157254561251"/>
    <x v="1"/>
    <n v="2.4568965517241378E-3"/>
  </r>
  <r>
    <n v="717"/>
    <x v="715"/>
    <x v="4"/>
    <x v="0"/>
    <s v="Casino"/>
    <m/>
    <n v="5.9"/>
    <n v="1279"/>
    <n v="0"/>
    <n v="1"/>
    <n v="60"/>
    <n v="1300"/>
    <n v="0"/>
    <n v="1"/>
    <n v="0.8"/>
    <s v="Saturday"/>
    <x v="0"/>
    <n v="1300"/>
    <x v="1"/>
    <n v="0"/>
  </r>
  <r>
    <n v="718"/>
    <x v="716"/>
    <x v="7"/>
    <x v="0"/>
    <s v="Slots"/>
    <s v="Virtual Casino"/>
    <n v="7.7"/>
    <n v="190"/>
    <n v="0"/>
    <n v="2"/>
    <n v="150"/>
    <n v="1300"/>
    <n v="0"/>
    <n v="2"/>
    <n v="0.6"/>
    <s v="Thursday"/>
    <x v="5"/>
    <n v="520"/>
    <x v="1"/>
    <n v="0"/>
  </r>
  <r>
    <n v="719"/>
    <x v="717"/>
    <x v="7"/>
    <x v="0"/>
    <s v="VALORANT"/>
    <s v="Apex Legends"/>
    <n v="9.6999999999999993"/>
    <n v="4520"/>
    <n v="8281"/>
    <n v="1.8"/>
    <n v="12403"/>
    <n v="595000"/>
    <n v="10900000"/>
    <n v="154"/>
    <n v="5.0999999999999996"/>
    <s v="Tuesday"/>
    <x v="1"/>
    <n v="2878.3358864790775"/>
    <x v="1"/>
    <n v="1.3917647058823529E-2"/>
  </r>
  <r>
    <n v="720"/>
    <x v="718"/>
    <x v="7"/>
    <x v="0"/>
    <s v="Virtual Casino"/>
    <s v="Slots"/>
    <n v="17.7"/>
    <n v="560"/>
    <n v="0"/>
    <n v="1.3"/>
    <n v="1420"/>
    <n v="1600"/>
    <n v="0"/>
    <n v="2"/>
    <n v="1.6"/>
    <s v="Tuesday"/>
    <x v="4"/>
    <n v="67.605633802816897"/>
    <x v="1"/>
    <n v="0"/>
  </r>
  <r>
    <n v="721"/>
    <x v="719"/>
    <x v="0"/>
    <x v="0"/>
    <s v="League of Legends"/>
    <s v="Teamfight Tactics"/>
    <n v="5.5"/>
    <n v="5070"/>
    <n v="22081"/>
    <n v="1"/>
    <n v="3819"/>
    <n v="613000"/>
    <n v="25000000"/>
    <n v="8"/>
    <n v="1.8"/>
    <s v="Tuesday"/>
    <x v="1"/>
    <n v="9630.7934014139828"/>
    <x v="1"/>
    <n v="3.6021207177814027E-2"/>
  </r>
  <r>
    <n v="722"/>
    <x v="720"/>
    <x v="1"/>
    <x v="1"/>
    <s v="World of Warships"/>
    <s v="World of Warships: Legends"/>
    <n v="3.2"/>
    <n v="1770"/>
    <n v="13862"/>
    <n v="1"/>
    <n v="4664"/>
    <n v="311000"/>
    <n v="24300000"/>
    <n v="3"/>
    <n v="4.3"/>
    <s v="Thursday"/>
    <x v="5"/>
    <n v="4000.8576329331045"/>
    <x v="1"/>
    <n v="4.4572347266881029E-2"/>
  </r>
  <r>
    <n v="723"/>
    <x v="721"/>
    <x v="3"/>
    <x v="0"/>
    <s v="Minecraft"/>
    <s v="Just Chatting"/>
    <n v="5.5"/>
    <n v="4520"/>
    <n v="1786"/>
    <n v="1.9"/>
    <n v="9967"/>
    <n v="884000"/>
    <n v="3500000"/>
    <n v="138"/>
    <n v="4.7"/>
    <s v="Sunday"/>
    <x v="1"/>
    <n v="5321.5611518009428"/>
    <x v="1"/>
    <n v="2.0203619909502264E-3"/>
  </r>
  <r>
    <n v="724"/>
    <x v="722"/>
    <x v="0"/>
    <x v="0"/>
    <s v="VALORANT"/>
    <s v="Unreal Tournament"/>
    <n v="2.9"/>
    <n v="175"/>
    <n v="700"/>
    <n v="1.1000000000000001"/>
    <n v="7600"/>
    <n v="390000"/>
    <n v="15600"/>
    <n v="14"/>
    <n v="0.8"/>
    <s v="Sunday"/>
    <x v="2"/>
    <n v="3078.9473684210525"/>
    <x v="1"/>
    <n v="1.7948717948717949E-3"/>
  </r>
  <r>
    <n v="725"/>
    <x v="723"/>
    <x v="0"/>
    <x v="0"/>
    <s v="Call of Duty: Warzone"/>
    <s v="Just Chatting"/>
    <n v="5.7"/>
    <n v="1192"/>
    <n v="4100"/>
    <n v="1.2"/>
    <n v="5203"/>
    <n v="1180000"/>
    <n v="404000"/>
    <n v="22"/>
    <n v="5.2"/>
    <s v="Monday"/>
    <x v="1"/>
    <n v="13607.534114933691"/>
    <x v="1"/>
    <n v="3.4745762711864405E-3"/>
  </r>
  <r>
    <n v="726"/>
    <x v="724"/>
    <x v="4"/>
    <x v="0"/>
    <s v="Casino"/>
    <m/>
    <n v="11.8"/>
    <n v="40"/>
    <n v="0"/>
    <n v="1"/>
    <n v="120"/>
    <n v="4"/>
    <n v="0"/>
    <n v="1"/>
    <n v="1"/>
    <s v="Wednesday"/>
    <x v="6"/>
    <n v="2"/>
    <x v="1"/>
    <n v="0"/>
  </r>
  <r>
    <n v="727"/>
    <x v="725"/>
    <x v="7"/>
    <x v="0"/>
    <s v="Just Chatting"/>
    <s v="Variety"/>
    <n v="8.8000000000000007"/>
    <n v="4490"/>
    <n v="0"/>
    <n v="2.2999999999999998"/>
    <n v="5450"/>
    <n v="24800"/>
    <n v="0"/>
    <n v="51"/>
    <n v="0.9"/>
    <s v="Tuesday"/>
    <x v="6"/>
    <n v="273.02752293577981"/>
    <x v="0"/>
    <n v="0"/>
  </r>
  <r>
    <n v="728"/>
    <x v="726"/>
    <x v="0"/>
    <x v="0"/>
    <s v="Pokemon Pinball"/>
    <s v="Pokemon Scarlet/Violet"/>
    <n v="4.2"/>
    <n v="1603"/>
    <n v="2585"/>
    <n v="1.2"/>
    <n v="1676"/>
    <n v="541000"/>
    <n v="1030000"/>
    <n v="94"/>
    <n v="1"/>
    <s v="Friday"/>
    <x v="0"/>
    <n v="19367.541766109785"/>
    <x v="1"/>
    <n v="4.7781885397412197E-3"/>
  </r>
  <r>
    <n v="729"/>
    <x v="727"/>
    <x v="3"/>
    <x v="0"/>
    <s v="Just Chatting"/>
    <s v="Overwatch"/>
    <n v="4.3"/>
    <n v="960"/>
    <n v="7716"/>
    <n v="1.4"/>
    <n v="6344"/>
    <n v="252000"/>
    <n v="14600000"/>
    <n v="321"/>
    <n v="3.8"/>
    <s v="Monday"/>
    <x v="0"/>
    <n v="2383.3543505674652"/>
    <x v="1"/>
    <n v="3.0619047619047619E-2"/>
  </r>
  <r>
    <n v="730"/>
    <x v="728"/>
    <x v="0"/>
    <x v="0"/>
    <s v="Call of Duty: Warzone"/>
    <s v="Call of Duty: Black Ops 4"/>
    <n v="10.8"/>
    <n v="2150"/>
    <n v="3774"/>
    <n v="1.2"/>
    <n v="19573"/>
    <n v="422000"/>
    <n v="7400000"/>
    <n v="46"/>
    <n v="5.7"/>
    <s v="Thursday"/>
    <x v="1"/>
    <n v="1293.6187605374753"/>
    <x v="1"/>
    <n v="8.9431279620853076E-3"/>
  </r>
  <r>
    <n v="731"/>
    <x v="729"/>
    <x v="0"/>
    <x v="0"/>
    <s v="FIFA 22"/>
    <s v="FIFA 23"/>
    <n v="3.5"/>
    <n v="1168"/>
    <n v="2238"/>
    <n v="1.2"/>
    <n v="2455"/>
    <n v="889000"/>
    <n v="1700000"/>
    <n v="34"/>
    <n v="2.2999999999999998"/>
    <s v="Friday"/>
    <x v="3"/>
    <n v="21727.087576374746"/>
    <x v="1"/>
    <n v="2.5174353205849268E-3"/>
  </r>
  <r>
    <n v="732"/>
    <x v="730"/>
    <x v="4"/>
    <x v="0"/>
    <s v="World of Warcraft"/>
    <s v="Dread Hunger"/>
    <n v="4.5"/>
    <n v="1120"/>
    <n v="9303"/>
    <n v="1.4"/>
    <n v="9759"/>
    <n v="254000"/>
    <n v="20100000"/>
    <n v="635"/>
    <n v="4.8"/>
    <s v="Wednesday"/>
    <x v="3"/>
    <n v="1561.6354134644941"/>
    <x v="1"/>
    <n v="3.6625984251968502E-2"/>
  </r>
  <r>
    <n v="733"/>
    <x v="731"/>
    <x v="0"/>
    <x v="0"/>
    <s v="Overwatch"/>
    <s v="Overwatch 2"/>
    <n v="6.3"/>
    <n v="5640"/>
    <n v="21401"/>
    <n v="1.2"/>
    <n v="9452"/>
    <n v="895000"/>
    <n v="34000000"/>
    <n v="132"/>
    <n v="3.9"/>
    <s v="Thursday"/>
    <x v="1"/>
    <n v="5681.3372831146844"/>
    <x v="1"/>
    <n v="2.391173184357542E-2"/>
  </r>
  <r>
    <n v="734"/>
    <x v="732"/>
    <x v="0"/>
    <x v="0"/>
    <s v="Teamfight Tactics"/>
    <s v="Slay the Spire"/>
    <n v="5.9"/>
    <n v="2200"/>
    <n v="100"/>
    <n v="1"/>
    <n v="322"/>
    <n v="99100"/>
    <n v="4400"/>
    <n v="11"/>
    <n v="1.8"/>
    <s v="Saturday"/>
    <x v="2"/>
    <n v="18465.838509316771"/>
    <x v="1"/>
    <n v="1.0090817356205853E-3"/>
  </r>
  <r>
    <n v="735"/>
    <x v="733"/>
    <x v="8"/>
    <x v="0"/>
    <s v="FIFA 19"/>
    <s v="Just Chatting"/>
    <n v="4.7"/>
    <n v="1238"/>
    <n v="20409"/>
    <n v="2.2999999999999998"/>
    <n v="8591"/>
    <n v="1820000"/>
    <n v="30100000"/>
    <n v="243"/>
    <n v="4.8"/>
    <s v="Thursday"/>
    <x v="3"/>
    <n v="12710.976603422185"/>
    <x v="0"/>
    <n v="1.1213736263736264E-2"/>
  </r>
  <r>
    <n v="736"/>
    <x v="734"/>
    <x v="0"/>
    <x v="0"/>
    <s v="Diablo III"/>
    <s v="Diablo IV"/>
    <n v="8.6"/>
    <n v="1930"/>
    <n v="4509"/>
    <n v="1"/>
    <n v="7534"/>
    <n v="151000"/>
    <n v="3520000"/>
    <n v="12"/>
    <n v="2.6"/>
    <s v="Sunday"/>
    <x v="4"/>
    <n v="1202.548447040085"/>
    <x v="1"/>
    <n v="2.9860927152317879E-2"/>
  </r>
  <r>
    <n v="737"/>
    <x v="735"/>
    <x v="4"/>
    <x v="0"/>
    <s v="Casino"/>
    <m/>
    <n v="3.3"/>
    <n v="1850"/>
    <n v="0"/>
    <n v="1"/>
    <n v="70"/>
    <n v="1300"/>
    <n v="0"/>
    <n v="1"/>
    <n v="1.6"/>
    <s v="Saturday"/>
    <x v="0"/>
    <n v="1114.2857142857142"/>
    <x v="1"/>
    <n v="0"/>
  </r>
  <r>
    <n v="738"/>
    <x v="736"/>
    <x v="0"/>
    <x v="0"/>
    <s v="Dead by Daylight"/>
    <s v="The Texas Chain Saw Massacre"/>
    <n v="5.3"/>
    <n v="3860"/>
    <n v="3227"/>
    <n v="1"/>
    <n v="5811"/>
    <n v="413000"/>
    <n v="3450000"/>
    <n v="28"/>
    <n v="4.4000000000000004"/>
    <s v="Monday"/>
    <x v="2"/>
    <n v="4264.3262777490972"/>
    <x v="1"/>
    <n v="7.813559322033899E-3"/>
  </r>
  <r>
    <n v="739"/>
    <x v="737"/>
    <x v="0"/>
    <x v="0"/>
    <s v="Special Events"/>
    <s v="VALORANT"/>
    <n v="8.9"/>
    <n v="130"/>
    <n v="560"/>
    <n v="1.5"/>
    <n v="4263"/>
    <n v="6500"/>
    <n v="27700"/>
    <n v="12"/>
    <n v="2.5"/>
    <s v="Tuesday"/>
    <x v="1"/>
    <n v="91.484869809992972"/>
    <x v="1"/>
    <n v="8.615384615384615E-2"/>
  </r>
  <r>
    <n v="740"/>
    <x v="738"/>
    <x v="2"/>
    <x v="1"/>
    <s v="Hearthstone"/>
    <s v="Legends of Runeterra"/>
    <n v="22"/>
    <n v="1460"/>
    <n v="42375"/>
    <n v="1.4"/>
    <n v="42099"/>
    <n v="204000"/>
    <n v="57100000"/>
    <n v="99"/>
    <n v="7"/>
    <s v="Tuesday"/>
    <x v="4"/>
    <n v="290.74324805814865"/>
    <x v="1"/>
    <n v="0.20772058823529413"/>
  </r>
  <r>
    <n v="741"/>
    <x v="739"/>
    <x v="4"/>
    <x v="0"/>
    <s v="Casino"/>
    <m/>
    <n v="5.4"/>
    <n v="10"/>
    <n v="0"/>
    <n v="1"/>
    <n v="50"/>
    <n v="1"/>
    <n v="0"/>
    <n v="1"/>
    <n v="0.2"/>
    <s v="Tuesday"/>
    <x v="4"/>
    <n v="1.2"/>
    <x v="1"/>
    <n v="0"/>
  </r>
  <r>
    <n v="742"/>
    <x v="740"/>
    <x v="1"/>
    <x v="0"/>
    <s v="League of Legends"/>
    <s v="Just Chatting"/>
    <n v="3.3"/>
    <n v="1400"/>
    <n v="4255"/>
    <n v="1"/>
    <n v="113"/>
    <n v="52400"/>
    <n v="1590000"/>
    <n v="14"/>
    <n v="1.2"/>
    <s v="Sunday"/>
    <x v="1"/>
    <n v="27823.008849557522"/>
    <x v="1"/>
    <n v="8.1202290076335878E-2"/>
  </r>
  <r>
    <n v="743"/>
    <x v="741"/>
    <x v="0"/>
    <x v="0"/>
    <s v="Diablo III"/>
    <s v="Diablo IV"/>
    <n v="7.3"/>
    <n v="1240"/>
    <n v="4584"/>
    <n v="1.1000000000000001"/>
    <n v="14096"/>
    <n v="244000"/>
    <n v="9030000"/>
    <n v="53"/>
    <n v="5.6"/>
    <s v="Thursday"/>
    <x v="3"/>
    <n v="1038.5925085130534"/>
    <x v="1"/>
    <n v="1.8786885245901639E-2"/>
  </r>
  <r>
    <n v="744"/>
    <x v="742"/>
    <x v="1"/>
    <x v="0"/>
    <s v="Just Chatting"/>
    <s v="Minecraft"/>
    <n v="6.4"/>
    <n v="3930"/>
    <n v="20131"/>
    <n v="2"/>
    <n v="1265"/>
    <n v="1150000"/>
    <n v="61500000"/>
    <n v="551"/>
    <n v="5"/>
    <s v="Wednesday"/>
    <x v="3"/>
    <n v="54545.454545454551"/>
    <x v="1"/>
    <n v="1.7505217391304347E-2"/>
  </r>
  <r>
    <n v="745"/>
    <x v="743"/>
    <x v="7"/>
    <x v="0"/>
    <s v="Just Chatting"/>
    <s v="League of Legends"/>
    <n v="2.9"/>
    <n v="56"/>
    <n v="17285"/>
    <n v="1.3"/>
    <n v="1031"/>
    <n v="1530000"/>
    <n v="4720000"/>
    <n v="50"/>
    <n v="1.1000000000000001"/>
    <s v="Thursday"/>
    <x v="2"/>
    <n v="89039.767216294858"/>
    <x v="1"/>
    <n v="1.1297385620915033E-2"/>
  </r>
  <r>
    <n v="746"/>
    <x v="744"/>
    <x v="16"/>
    <x v="0"/>
    <s v="League of Legends"/>
    <s v="Just Chatting"/>
    <n v="6.5"/>
    <n v="3290"/>
    <n v="1357"/>
    <n v="1.8"/>
    <n v="5958"/>
    <n v="280000"/>
    <n v="1160000"/>
    <n v="28"/>
    <n v="5.4"/>
    <s v="Tuesday"/>
    <x v="1"/>
    <n v="2819.7381671701914"/>
    <x v="1"/>
    <n v="4.8464285714285718E-3"/>
  </r>
  <r>
    <n v="747"/>
    <x v="745"/>
    <x v="4"/>
    <x v="0"/>
    <s v="Dota 2"/>
    <s v="Just Chatting"/>
    <n v="5"/>
    <n v="4718"/>
    <n v="24485"/>
    <n v="1.2"/>
    <n v="800"/>
    <n v="66900"/>
    <n v="343000"/>
    <n v="2"/>
    <n v="0.1"/>
    <s v="Tuesday"/>
    <x v="3"/>
    <n v="5017.5"/>
    <x v="1"/>
    <n v="0.36599402092675637"/>
  </r>
  <r>
    <n v="748"/>
    <x v="746"/>
    <x v="0"/>
    <x v="0"/>
    <s v="Escape from Tarkov"/>
    <s v="PUBG: BATTLEGROUNDS"/>
    <n v="9.4"/>
    <n v="3580"/>
    <n v="22934"/>
    <n v="1.8"/>
    <n v="25405"/>
    <n v="1060000"/>
    <n v="64099999"/>
    <n v="544"/>
    <n v="6.8"/>
    <s v="Thursday"/>
    <x v="1"/>
    <n v="2503.4442038968705"/>
    <x v="1"/>
    <n v="2.1635849056603772E-2"/>
  </r>
  <r>
    <n v="749"/>
    <x v="747"/>
    <x v="2"/>
    <x v="1"/>
    <s v="FIFA 23"/>
    <s v="EA Sports FC 24"/>
    <n v="3.6"/>
    <n v="4720"/>
    <n v="17395"/>
    <n v="1.1000000000000001"/>
    <n v="6730"/>
    <n v="90900"/>
    <n v="3310000"/>
    <n v="10"/>
    <n v="1.1000000000000001"/>
    <s v="Wednesday"/>
    <x v="1"/>
    <n v="810.40118870728077"/>
    <x v="1"/>
    <n v="0.19136413641364136"/>
  </r>
  <r>
    <n v="750"/>
    <x v="748"/>
    <x v="2"/>
    <x v="0"/>
    <s v="The Binding of Isaac: Repentance"/>
    <s v="Just Chatting"/>
    <n v="5.7"/>
    <n v="1130"/>
    <n v="4261"/>
    <n v="1.8"/>
    <n v="11967"/>
    <n v="278000"/>
    <n v="10400000"/>
    <n v="1066"/>
    <n v="5.9"/>
    <s v="Sunday"/>
    <x v="0"/>
    <n v="1393.8330408623715"/>
    <x v="1"/>
    <n v="1.5327338129496403E-2"/>
  </r>
  <r>
    <n v="751"/>
    <x v="749"/>
    <x v="0"/>
    <x v="0"/>
    <s v="Poker"/>
    <s v="Z1: Battle Royale"/>
    <n v="7.8"/>
    <n v="2930"/>
    <n v="42585"/>
    <n v="1.3"/>
    <n v="9439"/>
    <n v="322000"/>
    <n v="46700000"/>
    <n v="52"/>
    <n v="3"/>
    <s v="Sunday"/>
    <x v="1"/>
    <n v="2046.8269943849984"/>
    <x v="1"/>
    <n v="0.13225155279503106"/>
  </r>
  <r>
    <n v="752"/>
    <x v="750"/>
    <x v="7"/>
    <x v="0"/>
    <s v="Slots"/>
    <s v="Virtual Casino"/>
    <n v="13"/>
    <n v="90"/>
    <n v="0"/>
    <n v="1.5"/>
    <n v="260"/>
    <n v="1300"/>
    <n v="0"/>
    <n v="2"/>
    <n v="0.7"/>
    <s v="Monday"/>
    <x v="4"/>
    <n v="300"/>
    <x v="1"/>
    <n v="0"/>
  </r>
  <r>
    <n v="753"/>
    <x v="751"/>
    <x v="2"/>
    <x v="0"/>
    <s v="Just Chatting"/>
    <s v="Talk Shows &amp; Podcasts"/>
    <n v="4.0999999999999996"/>
    <n v="740"/>
    <n v="2965"/>
    <n v="1"/>
    <n v="3579"/>
    <n v="63000"/>
    <n v="2530000"/>
    <n v="30"/>
    <n v="2.6"/>
    <s v="Sunday"/>
    <x v="0"/>
    <n v="1056.1609388097233"/>
    <x v="1"/>
    <n v="4.7063492063492064E-2"/>
  </r>
  <r>
    <n v="754"/>
    <x v="752"/>
    <x v="1"/>
    <x v="0"/>
    <s v="Fortnite"/>
    <s v="Just Chatting"/>
    <n v="2.6"/>
    <n v="3660"/>
    <n v="3348"/>
    <n v="1.1000000000000001"/>
    <n v="2003"/>
    <n v="269000"/>
    <n v="2460000"/>
    <n v="13"/>
    <n v="2.5"/>
    <s v="Sunday"/>
    <x v="0"/>
    <n v="8057.9131303045433"/>
    <x v="1"/>
    <n v="1.2446096654275093E-2"/>
  </r>
  <r>
    <n v="755"/>
    <x v="753"/>
    <x v="5"/>
    <x v="0"/>
    <s v="Super Smash Bros. Ultimate"/>
    <s v="Guilty Gear: Strive"/>
    <n v="10.199999999999999"/>
    <n v="3727"/>
    <n v="2718"/>
    <n v="3"/>
    <n v="710"/>
    <n v="27500"/>
    <n v="215000"/>
    <n v="13"/>
    <n v="0"/>
    <s v="Saturday"/>
    <x v="0"/>
    <n v="2323.9436619718308"/>
    <x v="0"/>
    <n v="9.8836363636363639E-2"/>
  </r>
  <r>
    <n v="756"/>
    <x v="754"/>
    <x v="17"/>
    <x v="0"/>
    <s v="Just Chatting"/>
    <s v="GeoGuessr"/>
    <n v="4.5"/>
    <n v="3000"/>
    <n v="4293"/>
    <n v="1.1000000000000001"/>
    <n v="2306"/>
    <n v="141000"/>
    <n v="2009999"/>
    <n v="22"/>
    <n v="2.8"/>
    <s v="Tuesday"/>
    <x v="5"/>
    <n v="3668.6903729401565"/>
    <x v="1"/>
    <n v="3.0446808510638298E-2"/>
  </r>
  <r>
    <n v="757"/>
    <x v="755"/>
    <x v="7"/>
    <x v="1"/>
    <s v="Tom Clancy's Rainbow Six Siege"/>
    <s v="Variety"/>
    <n v="4.9000000000000004"/>
    <n v="5570"/>
    <n v="43627"/>
    <n v="1"/>
    <n v="5813"/>
    <n v="619000"/>
    <n v="48400000"/>
    <n v="3"/>
    <n v="3.1"/>
    <s v="Monday"/>
    <x v="1"/>
    <n v="6389.1278169619809"/>
    <x v="1"/>
    <n v="7.0479806138933759E-2"/>
  </r>
  <r>
    <n v="758"/>
    <x v="756"/>
    <x v="0"/>
    <x v="0"/>
    <s v="Grand Theft Auto V"/>
    <s v="Just Chatting"/>
    <n v="6.9"/>
    <n v="1780"/>
    <n v="495"/>
    <n v="1.4"/>
    <n v="1304"/>
    <n v="337000"/>
    <n v="9350000"/>
    <n v="146"/>
    <n v="4.9000000000000004"/>
    <s v="Tuesday"/>
    <x v="2"/>
    <n v="15506.134969325152"/>
    <x v="1"/>
    <n v="1.4688427299703263E-3"/>
  </r>
  <r>
    <n v="759"/>
    <x v="757"/>
    <x v="0"/>
    <x v="0"/>
    <s v="Teamfight Tactics"/>
    <s v="Just Chatting"/>
    <n v="6.1"/>
    <n v="1290"/>
    <n v="2177"/>
    <n v="1.1000000000000001"/>
    <n v="6866"/>
    <n v="137000"/>
    <n v="2310000"/>
    <n v="45"/>
    <n v="4.3"/>
    <s v="Thursday"/>
    <x v="0"/>
    <n v="1197.2036120011651"/>
    <x v="1"/>
    <n v="1.5890510948905111E-2"/>
  </r>
  <r>
    <n v="760"/>
    <x v="758"/>
    <x v="0"/>
    <x v="0"/>
    <s v="Just Chatting"/>
    <s v="Overwatch"/>
    <n v="2.6"/>
    <n v="8600"/>
    <n v="3362"/>
    <n v="1.1000000000000001"/>
    <n v="112"/>
    <n v="331000"/>
    <n v="1530000"/>
    <n v="40"/>
    <n v="1.1000000000000001"/>
    <s v="Tuesday"/>
    <x v="4"/>
    <n v="177321.42857142858"/>
    <x v="1"/>
    <n v="1.0157099697885197E-2"/>
  </r>
  <r>
    <n v="761"/>
    <x v="759"/>
    <x v="6"/>
    <x v="0"/>
    <s v="Just Chatting"/>
    <s v="Music"/>
    <n v="4.8"/>
    <n v="770"/>
    <n v="1127"/>
    <n v="1"/>
    <n v="2224"/>
    <n v="47300"/>
    <n v="690000"/>
    <n v="10"/>
    <n v="3.1"/>
    <s v="Wednesday"/>
    <x v="1"/>
    <n v="1276.0791366906474"/>
    <x v="1"/>
    <n v="2.3826638477801268E-2"/>
  </r>
  <r>
    <n v="762"/>
    <x v="760"/>
    <x v="3"/>
    <x v="0"/>
    <s v="Star Citizen"/>
    <s v="World of Warcraft"/>
    <n v="5.0999999999999996"/>
    <n v="340"/>
    <n v="5800"/>
    <n v="1"/>
    <n v="5429"/>
    <n v="35500"/>
    <n v="615000"/>
    <n v="31"/>
    <n v="3.3"/>
    <s v="Friday"/>
    <x v="2"/>
    <n v="392.33744704365444"/>
    <x v="1"/>
    <n v="0.16338028169014085"/>
  </r>
  <r>
    <n v="763"/>
    <x v="761"/>
    <x v="3"/>
    <x v="0"/>
    <s v="Just Chatting"/>
    <s v="Variety"/>
    <n v="7.6"/>
    <n v="1340"/>
    <n v="16322"/>
    <n v="3.2"/>
    <n v="12747"/>
    <n v="279000"/>
    <n v="32400000"/>
    <n v="354"/>
    <n v="4.3"/>
    <s v="Saturday"/>
    <x v="4"/>
    <n v="1313.2501765121206"/>
    <x v="0"/>
    <n v="5.850179211469534E-2"/>
  </r>
  <r>
    <n v="764"/>
    <x v="762"/>
    <x v="3"/>
    <x v="0"/>
    <s v="Just Chatting"/>
    <s v="Fortnite"/>
    <n v="4.5"/>
    <n v="1396"/>
    <n v="16406"/>
    <n v="1.3"/>
    <n v="2736"/>
    <n v="772000"/>
    <n v="8990000"/>
    <n v="49"/>
    <n v="1.9"/>
    <s v="Wednesday"/>
    <x v="0"/>
    <n v="16929.824561403508"/>
    <x v="1"/>
    <n v="2.1251295336787566E-2"/>
  </r>
  <r>
    <n v="765"/>
    <x v="763"/>
    <x v="6"/>
    <x v="0"/>
    <s v="League of Legends"/>
    <s v="Just Chatting"/>
    <n v="4.8"/>
    <n v="3330"/>
    <n v="43121"/>
    <n v="1.2"/>
    <n v="2708"/>
    <n v="192000"/>
    <n v="24800000"/>
    <n v="42"/>
    <n v="1.5"/>
    <s v="Monday"/>
    <x v="1"/>
    <n v="4254.062038404727"/>
    <x v="1"/>
    <n v="0.22458854166666667"/>
  </r>
  <r>
    <n v="766"/>
    <x v="764"/>
    <x v="7"/>
    <x v="0"/>
    <s v="Grand Theft Auto V"/>
    <s v="Call of Duty: Warzone"/>
    <n v="5.6"/>
    <n v="2610"/>
    <n v="10482"/>
    <n v="2.9"/>
    <n v="6763"/>
    <n v="272000"/>
    <n v="10900000"/>
    <n v="157"/>
    <n v="3.4"/>
    <s v="Thursday"/>
    <x v="1"/>
    <n v="2413.1302676327073"/>
    <x v="0"/>
    <n v="3.8536764705882354E-2"/>
  </r>
  <r>
    <n v="767"/>
    <x v="765"/>
    <x v="4"/>
    <x v="0"/>
    <s v="Just Chatting"/>
    <s v="Counter-Strike"/>
    <n v="4.3"/>
    <n v="2160"/>
    <n v="3425"/>
    <n v="2.1"/>
    <n v="5642"/>
    <n v="301000"/>
    <n v="4770000"/>
    <n v="132"/>
    <n v="3.8"/>
    <s v="Sunday"/>
    <x v="3"/>
    <n v="3200.9925558312657"/>
    <x v="0"/>
    <n v="1.1378737541528239E-2"/>
  </r>
  <r>
    <n v="768"/>
    <x v="766"/>
    <x v="18"/>
    <x v="0"/>
    <s v="Grand Theft Auto V"/>
    <s v="Just Chatting"/>
    <n v="3.3"/>
    <n v="1690"/>
    <n v="9160"/>
    <n v="1.7"/>
    <n v="3204"/>
    <n v="160000"/>
    <n v="871000"/>
    <n v="49"/>
    <n v="4.2"/>
    <s v="Thursday"/>
    <x v="1"/>
    <n v="2996.2546816479403"/>
    <x v="1"/>
    <n v="5.7250000000000002E-2"/>
  </r>
  <r>
    <n v="769"/>
    <x v="767"/>
    <x v="4"/>
    <x v="0"/>
    <s v="Casino"/>
    <m/>
    <n v="6.9"/>
    <n v="0"/>
    <n v="0"/>
    <n v="1"/>
    <n v="140"/>
    <n v="10500"/>
    <n v="0"/>
    <n v="1"/>
    <n v="1.1000000000000001"/>
    <s v="Tuesday"/>
    <x v="2"/>
    <n v="4500"/>
    <x v="1"/>
    <n v="0"/>
  </r>
  <r>
    <n v="770"/>
    <x v="768"/>
    <x v="1"/>
    <x v="0"/>
    <s v="Just Chatting"/>
    <s v="Fortnite"/>
    <n v="5.0999999999999996"/>
    <n v="9550"/>
    <n v="1434"/>
    <n v="2.1"/>
    <n v="557"/>
    <n v="1050000"/>
    <n v="15800000"/>
    <n v="183"/>
    <n v="3.3"/>
    <s v="Tuesday"/>
    <x v="0"/>
    <n v="113105.92459605027"/>
    <x v="0"/>
    <n v="1.3657142857142856E-3"/>
  </r>
  <r>
    <n v="771"/>
    <x v="769"/>
    <x v="4"/>
    <x v="0"/>
    <s v="Casino"/>
    <m/>
    <n v="17.7"/>
    <n v="4240"/>
    <n v="0"/>
    <n v="1"/>
    <n v="530"/>
    <n v="848"/>
    <n v="0"/>
    <n v="1"/>
    <n v="1.9"/>
    <s v="Thursday"/>
    <x v="3"/>
    <n v="96"/>
    <x v="1"/>
    <n v="0"/>
  </r>
  <r>
    <n v="772"/>
    <x v="770"/>
    <x v="0"/>
    <x v="0"/>
    <s v="Albion Online"/>
    <s v="Dead by Daylight"/>
    <n v="7.3"/>
    <n v="710"/>
    <n v="6320"/>
    <n v="1.3"/>
    <n v="11137"/>
    <n v="112000"/>
    <n v="996000"/>
    <n v="63"/>
    <n v="4.9000000000000004"/>
    <s v="Saturday"/>
    <x v="1"/>
    <n v="603.39409176618472"/>
    <x v="1"/>
    <n v="5.6428571428571425E-2"/>
  </r>
  <r>
    <n v="773"/>
    <x v="771"/>
    <x v="1"/>
    <x v="0"/>
    <s v="Dota 2"/>
    <s v="Variety"/>
    <n v="8.9"/>
    <n v="1180"/>
    <n v="2030"/>
    <n v="1"/>
    <n v="4466"/>
    <n v="78200"/>
    <n v="135000"/>
    <n v="4"/>
    <n v="2.2999999999999998"/>
    <s v="Sunday"/>
    <x v="2"/>
    <n v="1050.604567845947"/>
    <x v="1"/>
    <n v="2.5959079283887469E-2"/>
  </r>
  <r>
    <n v="774"/>
    <x v="772"/>
    <x v="8"/>
    <x v="0"/>
    <s v="Fortnite"/>
    <s v="Grand Theft Auto V"/>
    <n v="7.1"/>
    <n v="2830"/>
    <n v="10323"/>
    <n v="1.5"/>
    <n v="13203"/>
    <n v="752000"/>
    <n v="27500000"/>
    <n v="66"/>
    <n v="6.1"/>
    <s v="Monday"/>
    <x v="1"/>
    <n v="3417.4051351965459"/>
    <x v="1"/>
    <n v="1.3727393617021277E-2"/>
  </r>
  <r>
    <n v="775"/>
    <x v="773"/>
    <x v="2"/>
    <x v="0"/>
    <s v="Just Chatting"/>
    <s v="Politics"/>
    <n v="3.5"/>
    <n v="6910"/>
    <n v="2533"/>
    <n v="1.2"/>
    <n v="4400"/>
    <n v="89100"/>
    <n v="316000"/>
    <n v="15"/>
    <n v="1"/>
    <s v="Friday"/>
    <x v="5"/>
    <n v="1215"/>
    <x v="1"/>
    <n v="2.8428731762065094E-2"/>
  </r>
  <r>
    <n v="776"/>
    <x v="774"/>
    <x v="0"/>
    <x v="0"/>
    <s v="Call of Duty: Warzone"/>
    <s v="Fortnite"/>
    <n v="7.3"/>
    <n v="1682"/>
    <n v="34197"/>
    <n v="1.8"/>
    <n v="13949"/>
    <n v="3100000"/>
    <n v="63000000"/>
    <n v="119"/>
    <n v="5.4"/>
    <s v="Tuesday"/>
    <x v="1"/>
    <n v="13334.289196358162"/>
    <x v="1"/>
    <n v="1.1031290322580645E-2"/>
  </r>
  <r>
    <n v="777"/>
    <x v="775"/>
    <x v="3"/>
    <x v="0"/>
    <s v="Grand Theft Auto V"/>
    <s v="Just Chatting"/>
    <n v="4.7"/>
    <n v="1740"/>
    <n v="4331"/>
    <n v="1.5"/>
    <n v="5008"/>
    <n v="216000"/>
    <n v="5370000"/>
    <n v="56"/>
    <n v="2.8"/>
    <s v="Saturday"/>
    <x v="1"/>
    <n v="2587.8594249201278"/>
    <x v="1"/>
    <n v="2.0050925925925927E-2"/>
  </r>
  <r>
    <n v="778"/>
    <x v="776"/>
    <x v="0"/>
    <x v="0"/>
    <s v="Minecraft"/>
    <s v="Just Chatting"/>
    <n v="4.0999999999999996"/>
    <n v="3744"/>
    <n v="25754"/>
    <n v="1.9"/>
    <n v="2288"/>
    <n v="1880000"/>
    <n v="12900000"/>
    <n v="105"/>
    <n v="1.7"/>
    <s v="Wednesday"/>
    <x v="4"/>
    <n v="49300.6993006993"/>
    <x v="1"/>
    <n v="1.3698936170212766E-2"/>
  </r>
  <r>
    <n v="779"/>
    <x v="777"/>
    <x v="0"/>
    <x v="0"/>
    <s v="Destiny 2"/>
    <s v="Destiny"/>
    <n v="5"/>
    <n v="4740"/>
    <n v="1599"/>
    <n v="1.5"/>
    <n v="8494"/>
    <n v="755000"/>
    <n v="20500000"/>
    <n v="136"/>
    <n v="4.4000000000000004"/>
    <s v="Wednesday"/>
    <x v="0"/>
    <n v="5333.1763597833769"/>
    <x v="1"/>
    <n v="2.1178807947019869E-3"/>
  </r>
  <r>
    <n v="780"/>
    <x v="778"/>
    <x v="4"/>
    <x v="0"/>
    <s v="Dota 2"/>
    <s v="Total War: WARHAMMER III"/>
    <n v="5.5"/>
    <n v="3590"/>
    <n v="17325"/>
    <n v="1"/>
    <n v="8289"/>
    <n v="563000"/>
    <n v="27100000"/>
    <n v="23"/>
    <n v="5.2"/>
    <s v="Sunday"/>
    <x v="3"/>
    <n v="4075.2804922186028"/>
    <x v="1"/>
    <n v="3.0772646536412079E-2"/>
  </r>
  <r>
    <n v="781"/>
    <x v="779"/>
    <x v="7"/>
    <x v="0"/>
    <s v="Escape from Tarkov"/>
    <s v="PUBG: BATTLEGROUNDS"/>
    <n v="11.4"/>
    <n v="2620"/>
    <n v="6438"/>
    <n v="1.4"/>
    <n v="13165"/>
    <n v="286000"/>
    <n v="6950000"/>
    <n v="107"/>
    <n v="3.3"/>
    <s v="Thursday"/>
    <x v="1"/>
    <n v="1303.4561336878087"/>
    <x v="1"/>
    <n v="2.251048951048951E-2"/>
  </r>
  <r>
    <n v="782"/>
    <x v="780"/>
    <x v="0"/>
    <x v="0"/>
    <s v="Just Chatting"/>
    <s v="Retro"/>
    <n v="6.4"/>
    <n v="2300"/>
    <n v="3920"/>
    <n v="1.9"/>
    <n v="4884"/>
    <n v="176000"/>
    <n v="300000"/>
    <n v="225"/>
    <n v="4"/>
    <s v="Thursday"/>
    <x v="1"/>
    <n v="2162.1621621621621"/>
    <x v="1"/>
    <n v="2.2272727272727274E-2"/>
  </r>
  <r>
    <n v="783"/>
    <x v="781"/>
    <x v="5"/>
    <x v="0"/>
    <s v="League of Legends"/>
    <s v="VALORANT"/>
    <n v="5.9"/>
    <n v="2000"/>
    <n v="13241"/>
    <n v="1.2"/>
    <n v="10248"/>
    <n v="355000"/>
    <n v="23500000"/>
    <n v="153"/>
    <n v="4.5"/>
    <s v="Sunday"/>
    <x v="2"/>
    <n v="2078.4543325526929"/>
    <x v="1"/>
    <n v="3.7298591549295775E-2"/>
  </r>
  <r>
    <n v="784"/>
    <x v="782"/>
    <x v="0"/>
    <x v="0"/>
    <s v="Just Chatting"/>
    <s v="Monster Hunter: World"/>
    <n v="4.3"/>
    <n v="830"/>
    <n v="2263"/>
    <n v="1.4"/>
    <n v="9768"/>
    <n v="183000"/>
    <n v="5260000"/>
    <n v="474"/>
    <n v="5.8"/>
    <s v="Saturday"/>
    <x v="0"/>
    <n v="1124.078624078624"/>
    <x v="1"/>
    <n v="1.2366120218579234E-2"/>
  </r>
  <r>
    <n v="785"/>
    <x v="783"/>
    <x v="1"/>
    <x v="0"/>
    <s v="Just Chatting"/>
    <s v="Fortnite"/>
    <n v="2.6"/>
    <n v="1019"/>
    <n v="0"/>
    <n v="2.1"/>
    <n v="2000"/>
    <n v="85600"/>
    <n v="0"/>
    <n v="6"/>
    <n v="1.8"/>
    <s v="Tuesday"/>
    <x v="3"/>
    <n v="2568"/>
    <x v="0"/>
    <n v="0"/>
  </r>
  <r>
    <n v="786"/>
    <x v="784"/>
    <x v="0"/>
    <x v="0"/>
    <s v="ROBLOX"/>
    <s v="Counter-Strike"/>
    <n v="2.2000000000000002"/>
    <n v="2131"/>
    <n v="270"/>
    <n v="1.4"/>
    <n v="1148"/>
    <n v="1010000"/>
    <n v="13000"/>
    <n v="32"/>
    <n v="4"/>
    <s v="Tuesday"/>
    <x v="5"/>
    <n v="52787.456445993033"/>
    <x v="1"/>
    <n v="2.6732673267326735E-4"/>
  </r>
  <r>
    <n v="787"/>
    <x v="785"/>
    <x v="6"/>
    <x v="0"/>
    <s v="Just Chatting"/>
    <s v="Apex Legends"/>
    <n v="4.0999999999999996"/>
    <n v="7270"/>
    <n v="3998"/>
    <n v="1.4"/>
    <n v="2291"/>
    <n v="420000"/>
    <n v="2310000"/>
    <n v="86"/>
    <n v="1.6"/>
    <s v="Thursday"/>
    <x v="1"/>
    <n v="10999.563509384549"/>
    <x v="1"/>
    <n v="9.5190476190476197E-3"/>
  </r>
  <r>
    <n v="788"/>
    <x v="786"/>
    <x v="0"/>
    <x v="0"/>
    <s v="Fortnite"/>
    <s v="Just Chatting"/>
    <n v="5"/>
    <n v="7640"/>
    <n v="8341"/>
    <n v="1.2"/>
    <n v="5792"/>
    <n v="837000"/>
    <n v="9130000"/>
    <n v="38"/>
    <n v="3.4"/>
    <s v="Thursday"/>
    <x v="1"/>
    <n v="8670.5801104972379"/>
    <x v="1"/>
    <n v="9.9653524492234174E-3"/>
  </r>
  <r>
    <n v="789"/>
    <x v="787"/>
    <x v="1"/>
    <x v="0"/>
    <s v="Just Chatting"/>
    <s v="Counter-Strike"/>
    <n v="5"/>
    <n v="8100"/>
    <n v="25235"/>
    <n v="1.8"/>
    <n v="8657"/>
    <n v="1340000"/>
    <n v="41900000"/>
    <n v="148"/>
    <n v="4.5"/>
    <s v="Monday"/>
    <x v="5"/>
    <n v="9287.2819683493126"/>
    <x v="1"/>
    <n v="1.8832089552238807E-2"/>
  </r>
  <r>
    <n v="790"/>
    <x v="788"/>
    <x v="6"/>
    <x v="0"/>
    <s v="Dead by Daylight"/>
    <s v="VALORANT"/>
    <n v="6.6"/>
    <n v="2020"/>
    <n v="7940"/>
    <n v="1.7"/>
    <n v="4155"/>
    <n v="128000"/>
    <n v="505000"/>
    <n v="60"/>
    <n v="4.2"/>
    <s v="Saturday"/>
    <x v="2"/>
    <n v="1848.3754512635378"/>
    <x v="1"/>
    <n v="6.2031250000000003E-2"/>
  </r>
  <r>
    <n v="791"/>
    <x v="789"/>
    <x v="3"/>
    <x v="0"/>
    <s v="Just Chatting"/>
    <s v="Grand Theft Auto V"/>
    <n v="5.3"/>
    <n v="1330"/>
    <n v="2100"/>
    <n v="1.8"/>
    <n v="6076"/>
    <n v="150000"/>
    <n v="236000"/>
    <n v="112"/>
    <n v="4.3"/>
    <s v="Tuesday"/>
    <x v="2"/>
    <n v="1481.2376563528637"/>
    <x v="1"/>
    <n v="1.4E-2"/>
  </r>
  <r>
    <n v="792"/>
    <x v="790"/>
    <x v="0"/>
    <x v="0"/>
    <s v="Grand Theft Auto V"/>
    <s v="Call of Duty: Warzone"/>
    <n v="4.7"/>
    <n v="1289"/>
    <n v="6305"/>
    <n v="1.4"/>
    <n v="3896"/>
    <n v="1090000"/>
    <n v="5350000"/>
    <n v="30"/>
    <n v="3.8"/>
    <s v="Wednesday"/>
    <x v="3"/>
    <n v="16786.447638603695"/>
    <x v="1"/>
    <n v="5.7844036697247709E-3"/>
  </r>
  <r>
    <n v="793"/>
    <x v="791"/>
    <x v="10"/>
    <x v="0"/>
    <s v="Knight Online"/>
    <s v="Rise Online"/>
    <n v="4"/>
    <n v="2090"/>
    <n v="1555"/>
    <n v="1.2"/>
    <n v="2916"/>
    <n v="123000"/>
    <n v="9180000"/>
    <n v="10"/>
    <n v="2.2999999999999998"/>
    <s v="Saturday"/>
    <x v="3"/>
    <n v="2530.8641975308642"/>
    <x v="1"/>
    <n v="1.2642276422764227E-2"/>
  </r>
  <r>
    <n v="794"/>
    <x v="792"/>
    <x v="0"/>
    <x v="0"/>
    <s v="Escape from Tarkov"/>
    <s v="DayZ"/>
    <n v="6.8"/>
    <n v="1620"/>
    <n v="9237"/>
    <n v="1.5"/>
    <n v="151"/>
    <n v="415000"/>
    <n v="22700000"/>
    <n v="264"/>
    <n v="5.7"/>
    <s v="Wednesday"/>
    <x v="4"/>
    <n v="164900.66225165562"/>
    <x v="1"/>
    <n v="2.2257831325301205E-2"/>
  </r>
  <r>
    <n v="795"/>
    <x v="793"/>
    <x v="0"/>
    <x v="0"/>
    <s v="VALORANT"/>
    <s v="Counter-Strike"/>
    <n v="3.9"/>
    <n v="2620"/>
    <n v="8930"/>
    <n v="1.1000000000000001"/>
    <n v="2962"/>
    <n v="191000"/>
    <n v="652000"/>
    <n v="27"/>
    <n v="2.6"/>
    <s v="Sunday"/>
    <x v="4"/>
    <n v="3869.0074274139097"/>
    <x v="1"/>
    <n v="4.6753926701570678E-2"/>
  </r>
  <r>
    <n v="796"/>
    <x v="794"/>
    <x v="0"/>
    <x v="0"/>
    <s v="Honkai: Star Rail"/>
    <s v="I'm Only Sleeping"/>
    <n v="6.5"/>
    <n v="2220"/>
    <n v="0"/>
    <n v="1.6"/>
    <n v="1727"/>
    <n v="61600"/>
    <n v="2"/>
    <n v="30"/>
    <n v="3.5"/>
    <s v="Sunday"/>
    <x v="0"/>
    <n v="2140.1273885350315"/>
    <x v="1"/>
    <n v="0"/>
  </r>
  <r>
    <n v="797"/>
    <x v="795"/>
    <x v="7"/>
    <x v="0"/>
    <s v="VALORANT"/>
    <s v="Just Chatting"/>
    <n v="5.3"/>
    <n v="6770"/>
    <n v="9941"/>
    <n v="1.4"/>
    <n v="4441"/>
    <n v="505000"/>
    <n v="7410000"/>
    <n v="20"/>
    <n v="3.9"/>
    <s v="Wednesday"/>
    <x v="1"/>
    <n v="6822.7876604368385"/>
    <x v="1"/>
    <n v="1.9685148514851484E-2"/>
  </r>
  <r>
    <n v="798"/>
    <x v="796"/>
    <x v="0"/>
    <x v="0"/>
    <s v="Just Chatting"/>
    <s v="HITMAN 3"/>
    <n v="3.8"/>
    <n v="2880"/>
    <n v="4031"/>
    <n v="1.7"/>
    <n v="4236"/>
    <n v="337000"/>
    <n v="4700000"/>
    <n v="219"/>
    <n v="2.9"/>
    <s v="Wednesday"/>
    <x v="1"/>
    <n v="4773.3711048158648"/>
    <x v="1"/>
    <n v="1.1961424332344213E-2"/>
  </r>
  <r>
    <n v="799"/>
    <x v="797"/>
    <x v="0"/>
    <x v="0"/>
    <s v="Dota 2"/>
    <m/>
    <n v="4"/>
    <n v="2834"/>
    <n v="7685"/>
    <n v="1"/>
    <n v="800"/>
    <n v="54000"/>
    <n v="147000"/>
    <n v="1"/>
    <n v="0.1"/>
    <s v="Saturday"/>
    <x v="4"/>
    <n v="4050"/>
    <x v="1"/>
    <n v="0.14231481481481481"/>
  </r>
  <r>
    <n v="800"/>
    <x v="798"/>
    <x v="1"/>
    <x v="0"/>
    <s v="FIFA 23"/>
    <s v="EA Sports FC 24"/>
    <n v="4.0999999999999996"/>
    <n v="1430"/>
    <n v="5580"/>
    <n v="1.2"/>
    <n v="536"/>
    <n v="186000"/>
    <n v="724000"/>
    <n v="51"/>
    <n v="5.2"/>
    <s v="Wednesday"/>
    <x v="3"/>
    <n v="20820.895522388058"/>
    <x v="1"/>
    <n v="0.03"/>
  </r>
  <r>
    <n v="801"/>
    <x v="799"/>
    <x v="4"/>
    <x v="0"/>
    <s v="Just Chatting"/>
    <s v="Escape from Tarkov"/>
    <n v="7.2"/>
    <n v="450"/>
    <n v="8714"/>
    <n v="1.7"/>
    <n v="1725"/>
    <n v="124000"/>
    <n v="21800000"/>
    <n v="992"/>
    <n v="6"/>
    <s v="Saturday"/>
    <x v="4"/>
    <n v="4313.04347826087"/>
    <x v="1"/>
    <n v="7.0274193548387098E-2"/>
  </r>
  <r>
    <n v="802"/>
    <x v="800"/>
    <x v="4"/>
    <x v="0"/>
    <s v="Dota 2"/>
    <s v="Counter-Strike"/>
    <n v="5"/>
    <n v="2370"/>
    <n v="15281"/>
    <n v="1"/>
    <n v="7831"/>
    <n v="385000"/>
    <n v="24800000"/>
    <n v="8"/>
    <n v="4.4000000000000004"/>
    <s v="Wednesday"/>
    <x v="2"/>
    <n v="2949.8148384625206"/>
    <x v="1"/>
    <n v="3.9690909090909089E-2"/>
  </r>
  <r>
    <n v="803"/>
    <x v="801"/>
    <x v="0"/>
    <x v="0"/>
    <s v="Call of Duty: Warzone"/>
    <s v="Rust"/>
    <n v="6.3"/>
    <n v="1410"/>
    <n v="1621"/>
    <n v="1.1000000000000001"/>
    <n v="8506"/>
    <n v="185000"/>
    <n v="2140000"/>
    <n v="57"/>
    <n v="4.3"/>
    <s v="Tuesday"/>
    <x v="0"/>
    <n v="1304.9612038561015"/>
    <x v="1"/>
    <n v="8.7621621621621626E-3"/>
  </r>
  <r>
    <n v="804"/>
    <x v="802"/>
    <x v="9"/>
    <x v="0"/>
    <s v="Just Chatting"/>
    <s v="Grand Theft Auto V"/>
    <n v="5.0999999999999996"/>
    <n v="1073"/>
    <n v="2988"/>
    <n v="2.5"/>
    <n v="2562"/>
    <n v="498000"/>
    <n v="1390000"/>
    <n v="114"/>
    <n v="3.6"/>
    <s v="Monday"/>
    <x v="1"/>
    <n v="11662.763466042154"/>
    <x v="0"/>
    <n v="6.0000000000000001E-3"/>
  </r>
  <r>
    <n v="805"/>
    <x v="803"/>
    <x v="2"/>
    <x v="0"/>
    <s v="Just Chatting"/>
    <s v="IRL"/>
    <n v="4.0999999999999996"/>
    <n v="6360"/>
    <n v="17806"/>
    <n v="2"/>
    <n v="5782"/>
    <n v="920000"/>
    <n v="25800000"/>
    <n v="473"/>
    <n v="3.7"/>
    <s v="Friday"/>
    <x v="1"/>
    <n v="9546.869595295746"/>
    <x v="1"/>
    <n v="1.9354347826086957E-2"/>
  </r>
  <r>
    <n v="806"/>
    <x v="804"/>
    <x v="1"/>
    <x v="0"/>
    <s v="Slots"/>
    <s v="Fortnite"/>
    <n v="3.8"/>
    <n v="950"/>
    <n v="3290"/>
    <n v="1.3"/>
    <n v="4614"/>
    <n v="128000"/>
    <n v="441000"/>
    <n v="70"/>
    <n v="3.6"/>
    <s v="Friday"/>
    <x v="6"/>
    <n v="1664.4993498049414"/>
    <x v="1"/>
    <n v="2.5703125E-2"/>
  </r>
  <r>
    <n v="807"/>
    <x v="805"/>
    <x v="0"/>
    <x v="0"/>
    <s v="Hearthstone"/>
    <s v="Marvel Snap"/>
    <n v="3.8"/>
    <n v="930"/>
    <n v="1137"/>
    <n v="1.1000000000000001"/>
    <n v="6053"/>
    <n v="133000"/>
    <n v="1630000"/>
    <n v="62"/>
    <n v="4.4000000000000004"/>
    <s v="Wednesday"/>
    <x v="6"/>
    <n v="1318.3545349413514"/>
    <x v="1"/>
    <n v="8.548872180451127E-3"/>
  </r>
  <r>
    <n v="808"/>
    <x v="806"/>
    <x v="4"/>
    <x v="0"/>
    <s v="Escape from Tarkov"/>
    <s v="Escape from Tarkov: Arena"/>
    <n v="6.9"/>
    <n v="880"/>
    <n v="12625"/>
    <n v="1.4"/>
    <n v="10887"/>
    <n v="141000"/>
    <n v="20100000"/>
    <n v="144"/>
    <n v="4.8"/>
    <s v="Friday"/>
    <x v="4"/>
    <n v="777.07357398732438"/>
    <x v="1"/>
    <n v="8.9539007092198586E-2"/>
  </r>
  <r>
    <n v="809"/>
    <x v="807"/>
    <x v="1"/>
    <x v="0"/>
    <s v="League of Legends"/>
    <s v="Just Chatting"/>
    <n v="4.5"/>
    <n v="2450"/>
    <n v="11013"/>
    <n v="1.9"/>
    <n v="9635"/>
    <n v="562000"/>
    <n v="25000000"/>
    <n v="243"/>
    <n v="5.5"/>
    <s v="Tuesday"/>
    <x v="6"/>
    <n v="3499.7405293201864"/>
    <x v="1"/>
    <n v="1.9596085409252669E-2"/>
  </r>
  <r>
    <n v="810"/>
    <x v="808"/>
    <x v="5"/>
    <x v="0"/>
    <s v="Grand Theft Auto V"/>
    <s v="Variety"/>
    <n v="6.5"/>
    <n v="860"/>
    <n v="50"/>
    <n v="1"/>
    <n v="2069"/>
    <n v="30900"/>
    <n v="1800"/>
    <n v="19"/>
    <n v="1.9"/>
    <s v="Saturday"/>
    <x v="4"/>
    <n v="896.08506524891254"/>
    <x v="1"/>
    <n v="1.6181229773462784E-3"/>
  </r>
  <r>
    <n v="811"/>
    <x v="809"/>
    <x v="0"/>
    <x v="0"/>
    <s v="Variety"/>
    <m/>
    <n v="2.2999999999999998"/>
    <n v="1130"/>
    <n v="0"/>
    <n v="1"/>
    <n v="70"/>
    <n v="226"/>
    <n v="0"/>
    <n v="1"/>
    <n v="0.5"/>
    <s v="Monday"/>
    <x v="4"/>
    <n v="193.71428571428569"/>
    <x v="1"/>
    <n v="0"/>
  </r>
  <r>
    <n v="812"/>
    <x v="810"/>
    <x v="6"/>
    <x v="0"/>
    <s v="Apex Legends"/>
    <s v="Just Chatting"/>
    <n v="6.8"/>
    <n v="1750"/>
    <n v="9455"/>
    <n v="1.3"/>
    <n v="818"/>
    <n v="249000"/>
    <n v="13400000"/>
    <n v="104"/>
    <n v="3.4"/>
    <s v="Saturday"/>
    <x v="1"/>
    <n v="18264.058679706603"/>
    <x v="1"/>
    <n v="3.7971887550200804E-2"/>
  </r>
  <r>
    <n v="813"/>
    <x v="811"/>
    <x v="0"/>
    <x v="0"/>
    <s v="Virtual Casino"/>
    <s v="Just Chatting"/>
    <n v="1.5"/>
    <n v="7020"/>
    <n v="270"/>
    <n v="1"/>
    <n v="370"/>
    <n v="21100"/>
    <n v="847"/>
    <n v="9"/>
    <n v="0.1"/>
    <s v="Sunday"/>
    <x v="4"/>
    <n v="3421.6216216216217"/>
    <x v="1"/>
    <n v="1.2796208530805687E-2"/>
  </r>
  <r>
    <n v="814"/>
    <x v="812"/>
    <x v="0"/>
    <x v="0"/>
    <s v="RuneScape"/>
    <s v="Old School RuneScape"/>
    <n v="7.3"/>
    <n v="980"/>
    <n v="766"/>
    <n v="1.2"/>
    <n v="12331"/>
    <n v="204000"/>
    <n v="14800000"/>
    <n v="122"/>
    <n v="4.3"/>
    <s v="Saturday"/>
    <x v="2"/>
    <n v="992.62022544805768"/>
    <x v="1"/>
    <n v="3.7549019607843138E-3"/>
  </r>
  <r>
    <n v="815"/>
    <x v="813"/>
    <x v="7"/>
    <x v="0"/>
    <s v="FIFA 21"/>
    <s v="FIFA 23"/>
    <n v="4.3"/>
    <n v="1120"/>
    <n v="3090"/>
    <n v="1"/>
    <n v="5089"/>
    <n v="131000"/>
    <n v="361000"/>
    <n v="10"/>
    <n v="5.7"/>
    <s v="Friday"/>
    <x v="0"/>
    <n v="1544.5077618392613"/>
    <x v="1"/>
    <n v="2.3587786259541985E-2"/>
  </r>
  <r>
    <n v="816"/>
    <x v="814"/>
    <x v="0"/>
    <x v="0"/>
    <s v="Just Chatting"/>
    <s v="I'm Only Sleeping"/>
    <n v="3.4"/>
    <n v="8320"/>
    <n v="1129"/>
    <n v="1.5"/>
    <n v="1593"/>
    <n v="325000"/>
    <n v="441000"/>
    <n v="105"/>
    <n v="2.8"/>
    <s v="Saturday"/>
    <x v="4"/>
    <n v="12241.05461393597"/>
    <x v="1"/>
    <n v="3.4738461538461538E-3"/>
  </r>
  <r>
    <n v="817"/>
    <x v="815"/>
    <x v="1"/>
    <x v="0"/>
    <s v="VALORANT"/>
    <s v="Counter-Strike"/>
    <n v="5.8"/>
    <n v="2920"/>
    <n v="431"/>
    <n v="1.1000000000000001"/>
    <n v="7109"/>
    <n v="379000"/>
    <n v="5590000"/>
    <n v="26"/>
    <n v="5.5"/>
    <s v="Wednesday"/>
    <x v="0"/>
    <n v="3198.7621325080881"/>
    <x v="1"/>
    <n v="1.1372031662269129E-3"/>
  </r>
  <r>
    <n v="818"/>
    <x v="816"/>
    <x v="0"/>
    <x v="0"/>
    <s v="Super Mario 64"/>
    <s v="Minecraft"/>
    <n v="4.4000000000000004"/>
    <n v="1740"/>
    <n v="4778"/>
    <n v="1.6"/>
    <n v="7224"/>
    <n v="309000"/>
    <n v="8590000"/>
    <n v="133"/>
    <n v="4.2"/>
    <s v="Wednesday"/>
    <x v="4"/>
    <n v="2566.4451827242524"/>
    <x v="1"/>
    <n v="1.5462783171521036E-2"/>
  </r>
  <r>
    <n v="819"/>
    <x v="817"/>
    <x v="0"/>
    <x v="0"/>
    <s v="Sekiro: Shadows Die Twice"/>
    <s v="ELDEN RING"/>
    <n v="5.0999999999999996"/>
    <n v="1160"/>
    <n v="7090"/>
    <n v="1.3"/>
    <n v="928"/>
    <n v="191000"/>
    <n v="1170000"/>
    <n v="182"/>
    <n v="5.4"/>
    <s v="Wednesday"/>
    <x v="4"/>
    <n v="12349.137931034482"/>
    <x v="1"/>
    <n v="3.7120418848167538E-2"/>
  </r>
  <r>
    <n v="820"/>
    <x v="818"/>
    <x v="5"/>
    <x v="0"/>
    <s v="Street Fighter 6"/>
    <s v="VALORANT"/>
    <n v="4.0999999999999996"/>
    <n v="2260"/>
    <n v="3340"/>
    <n v="1.4"/>
    <n v="2812"/>
    <n v="165000"/>
    <n v="244000"/>
    <n v="105"/>
    <n v="5.0999999999999996"/>
    <s v="Friday"/>
    <x v="1"/>
    <n v="3520.6258890469417"/>
    <x v="1"/>
    <n v="2.0242424242424242E-2"/>
  </r>
  <r>
    <n v="821"/>
    <x v="819"/>
    <x v="0"/>
    <x v="0"/>
    <s v="League of Legends"/>
    <s v="Pokemon UNITE"/>
    <n v="5.3"/>
    <n v="4110"/>
    <n v="16747"/>
    <n v="1.1000000000000001"/>
    <n v="8834"/>
    <n v="603000"/>
    <n v="24400000"/>
    <n v="51"/>
    <n v="4.2"/>
    <s v="Wednesday"/>
    <x v="3"/>
    <n v="4095.5399592483591"/>
    <x v="1"/>
    <n v="2.7772802653399667E-2"/>
  </r>
  <r>
    <n v="822"/>
    <x v="820"/>
    <x v="0"/>
    <x v="0"/>
    <s v="DayZ"/>
    <s v="PUBG: BATTLEGROUNDS"/>
    <n v="7.3"/>
    <n v="1790"/>
    <n v="5818"/>
    <n v="1.1000000000000001"/>
    <n v="12806"/>
    <n v="349000"/>
    <n v="10800000"/>
    <n v="28"/>
    <n v="4.5"/>
    <s v="Tuesday"/>
    <x v="2"/>
    <n v="1635.1710135873809"/>
    <x v="1"/>
    <n v="1.6670487106017193E-2"/>
  </r>
  <r>
    <n v="823"/>
    <x v="821"/>
    <x v="0"/>
    <x v="0"/>
    <s v="Escape from Tarkov"/>
    <s v="World of Warcraft"/>
    <n v="9.6999999999999993"/>
    <n v="1630"/>
    <n v="12186"/>
    <n v="1.7"/>
    <n v="24371"/>
    <n v="398000"/>
    <n v="28900000"/>
    <n v="312"/>
    <n v="6.4"/>
    <s v="Tuesday"/>
    <x v="1"/>
    <n v="979.85310409913416"/>
    <x v="1"/>
    <n v="3.0618090452261305E-2"/>
  </r>
  <r>
    <n v="824"/>
    <x v="822"/>
    <x v="7"/>
    <x v="0"/>
    <s v="Virtual Casino"/>
    <m/>
    <n v="23"/>
    <n v="60"/>
    <n v="0"/>
    <n v="1"/>
    <n v="2484"/>
    <n v="5500"/>
    <n v="0"/>
    <n v="1"/>
    <n v="6.9"/>
    <s v="Thursday"/>
    <x v="6"/>
    <n v="132.85024154589374"/>
    <x v="1"/>
    <n v="0"/>
  </r>
  <r>
    <n v="825"/>
    <x v="823"/>
    <x v="0"/>
    <x v="0"/>
    <s v="Just Chatting"/>
    <s v="League of Legends"/>
    <n v="4.5"/>
    <n v="7260"/>
    <n v="1513"/>
    <n v="1.5"/>
    <n v="5954"/>
    <n v="1020000"/>
    <n v="21200000"/>
    <n v="172"/>
    <n v="4.4000000000000004"/>
    <s v="Sunday"/>
    <x v="1"/>
    <n v="10278.804165267047"/>
    <x v="1"/>
    <n v="1.4833333333333332E-3"/>
  </r>
  <r>
    <n v="826"/>
    <x v="824"/>
    <x v="7"/>
    <x v="0"/>
    <s v="Grand Theft Auto V"/>
    <s v="Just Chatting"/>
    <n v="3.5"/>
    <n v="1817"/>
    <n v="2418"/>
    <n v="2"/>
    <n v="293"/>
    <n v="1130000"/>
    <n v="14900000"/>
    <n v="54"/>
    <n v="2.2000000000000002"/>
    <s v="Wednesday"/>
    <x v="3"/>
    <n v="231399.31740614332"/>
    <x v="1"/>
    <n v="2.1398230088495577E-3"/>
  </r>
  <r>
    <n v="827"/>
    <x v="825"/>
    <x v="0"/>
    <x v="0"/>
    <s v="Magic: The Gathering"/>
    <s v="Marvel Snap"/>
    <n v="6.3"/>
    <n v="450"/>
    <n v="5003"/>
    <n v="1.4"/>
    <n v="13588"/>
    <n v="118000"/>
    <n v="12200000"/>
    <n v="168"/>
    <n v="5.5"/>
    <s v="Tuesday"/>
    <x v="2"/>
    <n v="521.04798351486602"/>
    <x v="1"/>
    <n v="4.2398305084745763E-2"/>
  </r>
  <r>
    <n v="828"/>
    <x v="826"/>
    <x v="3"/>
    <x v="0"/>
    <s v="Just Chatting"/>
    <s v="League of Legends"/>
    <n v="4.0999999999999996"/>
    <n v="480"/>
    <n v="4308"/>
    <n v="1.2"/>
    <n v="7554"/>
    <n v="91500"/>
    <n v="8119999"/>
    <n v="53"/>
    <n v="5.6"/>
    <s v="Wednesday"/>
    <x v="2"/>
    <n v="726.76727561556788"/>
    <x v="1"/>
    <n v="4.7081967213114757E-2"/>
  </r>
  <r>
    <n v="829"/>
    <x v="827"/>
    <x v="5"/>
    <x v="0"/>
    <s v="VALORANT"/>
    <s v="Counter-Strike"/>
    <n v="4.0999999999999996"/>
    <n v="4030"/>
    <n v="6118"/>
    <n v="1.1000000000000001"/>
    <n v="2876"/>
    <n v="339000"/>
    <n v="5150000"/>
    <n v="51"/>
    <n v="1.8"/>
    <s v="Tuesday"/>
    <x v="4"/>
    <n v="7072.3226703755217"/>
    <x v="1"/>
    <n v="1.8047197640117994E-2"/>
  </r>
  <r>
    <n v="830"/>
    <x v="828"/>
    <x v="5"/>
    <x v="0"/>
    <s v="Grand Theft Auto V"/>
    <s v="Just Chatting"/>
    <n v="6.2"/>
    <n v="620"/>
    <n v="1070"/>
    <n v="1.8"/>
    <n v="4674"/>
    <n v="51100"/>
    <n v="88800"/>
    <n v="201"/>
    <n v="4.5"/>
    <s v="Saturday"/>
    <x v="0"/>
    <n v="655.96919127086005"/>
    <x v="1"/>
    <n v="2.0939334637964775E-2"/>
  </r>
  <r>
    <n v="831"/>
    <x v="829"/>
    <x v="0"/>
    <x v="0"/>
    <s v="VALORANT"/>
    <s v="Counter-Strike"/>
    <n v="5.9"/>
    <n v="9050"/>
    <n v="223"/>
    <n v="1.2"/>
    <n v="6728"/>
    <n v="1010000"/>
    <n v="24800000"/>
    <n v="46"/>
    <n v="2.9"/>
    <s v="Monday"/>
    <x v="2"/>
    <n v="9007.1343638525559"/>
    <x v="1"/>
    <n v="2.207920792079208E-4"/>
  </r>
  <r>
    <n v="832"/>
    <x v="830"/>
    <x v="4"/>
    <x v="0"/>
    <s v="Dota 2"/>
    <s v="ELDEN RING"/>
    <n v="5.3"/>
    <n v="1915"/>
    <n v="14706"/>
    <n v="1.2"/>
    <n v="6050"/>
    <n v="239000"/>
    <n v="1830000"/>
    <n v="18"/>
    <n v="0.8"/>
    <s v="Sunday"/>
    <x v="2"/>
    <n v="2370.2479338842977"/>
    <x v="1"/>
    <n v="6.1531380753138076E-2"/>
  </r>
  <r>
    <n v="833"/>
    <x v="831"/>
    <x v="1"/>
    <x v="0"/>
    <s v="Fortnite"/>
    <s v="VALORANT"/>
    <n v="4.5"/>
    <n v="1743"/>
    <n v="4591"/>
    <n v="1.3"/>
    <n v="27"/>
    <n v="1100000"/>
    <n v="2850000"/>
    <n v="29"/>
    <n v="5.0999999999999996"/>
    <s v="Monday"/>
    <x v="1"/>
    <n v="2444444.4444444445"/>
    <x v="1"/>
    <n v="4.1736363636363637E-3"/>
  </r>
  <r>
    <n v="834"/>
    <x v="832"/>
    <x v="0"/>
    <x v="0"/>
    <s v="VALORANT"/>
    <s v="Counter-Strike"/>
    <n v="5"/>
    <n v="4360"/>
    <n v="8300"/>
    <n v="1.1000000000000001"/>
    <n v="4483"/>
    <n v="427000"/>
    <n v="813000"/>
    <n v="39"/>
    <n v="2.6"/>
    <s v="Wednesday"/>
    <x v="6"/>
    <n v="5714.9230426053982"/>
    <x v="1"/>
    <n v="1.9437939110070256E-2"/>
  </r>
  <r>
    <n v="835"/>
    <x v="833"/>
    <x v="4"/>
    <x v="0"/>
    <s v="Dota 2"/>
    <s v="Heroes of Might and Magic III: The Restoration of Erathia"/>
    <n v="5.9"/>
    <n v="2970"/>
    <n v="3753"/>
    <n v="1.2"/>
    <n v="9340"/>
    <n v="64000"/>
    <n v="987000"/>
    <n v="4"/>
    <n v="0.6"/>
    <s v="Friday"/>
    <x v="1"/>
    <n v="411.13490364025699"/>
    <x v="1"/>
    <n v="5.8640625000000002E-2"/>
  </r>
  <r>
    <n v="836"/>
    <x v="834"/>
    <x v="4"/>
    <x v="0"/>
    <s v="Casino"/>
    <m/>
    <n v="13.6"/>
    <n v="8760"/>
    <n v="0"/>
    <n v="1"/>
    <n v="270"/>
    <n v="877"/>
    <n v="0"/>
    <n v="1"/>
    <n v="0.6"/>
    <s v="Saturday"/>
    <x v="1"/>
    <n v="194.88888888888889"/>
    <x v="1"/>
    <n v="0"/>
  </r>
  <r>
    <n v="837"/>
    <x v="835"/>
    <x v="0"/>
    <x v="0"/>
    <s v="NBA 2K19"/>
    <s v="Just Chatting"/>
    <n v="3"/>
    <n v="3432"/>
    <n v="20081"/>
    <n v="2.4"/>
    <n v="2232"/>
    <n v="2210000"/>
    <n v="12900000"/>
    <n v="50"/>
    <n v="2.6"/>
    <s v="Monday"/>
    <x v="0"/>
    <n v="59408.602150537627"/>
    <x v="0"/>
    <n v="9.0864253393665162E-3"/>
  </r>
  <r>
    <n v="838"/>
    <x v="836"/>
    <x v="0"/>
    <x v="1"/>
    <s v="F1 2019"/>
    <s v="F1 22"/>
    <n v="2.5"/>
    <n v="2635"/>
    <n v="42554"/>
    <n v="1"/>
    <n v="3960"/>
    <n v="523000"/>
    <n v="8460000"/>
    <n v="10"/>
    <n v="0.5"/>
    <s v="Wednesday"/>
    <x v="1"/>
    <n v="7924.242424242424"/>
    <x v="1"/>
    <n v="8.136520076481836E-2"/>
  </r>
  <r>
    <n v="839"/>
    <x v="837"/>
    <x v="4"/>
    <x v="0"/>
    <s v="Counter-Strike"/>
    <s v="Just Chatting"/>
    <n v="3.6"/>
    <n v="3180"/>
    <n v="10389"/>
    <n v="1.2"/>
    <n v="5265"/>
    <n v="520000"/>
    <n v="17000000"/>
    <n v="21"/>
    <n v="4.0999999999999996"/>
    <s v="Saturday"/>
    <x v="2"/>
    <n v="5925.9259259259261"/>
    <x v="1"/>
    <n v="1.9978846153846153E-2"/>
  </r>
  <r>
    <n v="840"/>
    <x v="838"/>
    <x v="8"/>
    <x v="0"/>
    <s v="Call of Duty: Warzone"/>
    <s v="PUBG: BATTLEGROUNDS"/>
    <n v="6.6"/>
    <n v="1930"/>
    <n v="6672"/>
    <n v="1.5"/>
    <n v="15154"/>
    <n v="666000"/>
    <n v="23000000"/>
    <n v="161"/>
    <n v="5.9"/>
    <s v="Wednesday"/>
    <x v="6"/>
    <n v="2636.9275438828031"/>
    <x v="1"/>
    <n v="1.0018018018018018E-2"/>
  </r>
  <r>
    <n v="841"/>
    <x v="839"/>
    <x v="16"/>
    <x v="0"/>
    <s v="Just Chatting"/>
    <s v="Apex Legends"/>
    <n v="4.7"/>
    <n v="3380"/>
    <n v="1534"/>
    <n v="1.9"/>
    <n v="3426"/>
    <n v="249000"/>
    <n v="1130000"/>
    <n v="122"/>
    <n v="4.0999999999999996"/>
    <s v="Thursday"/>
    <x v="1"/>
    <n v="4360.7705779334501"/>
    <x v="1"/>
    <n v="6.1606425702811244E-3"/>
  </r>
  <r>
    <n v="842"/>
    <x v="840"/>
    <x v="0"/>
    <x v="0"/>
    <s v="League of Legends"/>
    <s v="Just Chatting"/>
    <n v="7"/>
    <n v="1510"/>
    <n v="6542"/>
    <n v="1.1000000000000001"/>
    <n v="14934"/>
    <n v="398000"/>
    <n v="17200000"/>
    <n v="54"/>
    <n v="6.1"/>
    <s v="Monday"/>
    <x v="4"/>
    <n v="1599.0357573322619"/>
    <x v="1"/>
    <n v="1.643718592964824E-2"/>
  </r>
  <r>
    <n v="843"/>
    <x v="841"/>
    <x v="0"/>
    <x v="0"/>
    <s v="Just Chatting"/>
    <s v="Pools Hot Tubs and Beaches"/>
    <n v="6.1"/>
    <n v="7610"/>
    <n v="15385"/>
    <n v="1.7"/>
    <n v="6726"/>
    <n v="720000"/>
    <n v="14600000"/>
    <n v="21"/>
    <n v="5.5"/>
    <s v="Monday"/>
    <x v="2"/>
    <n v="6422.8367528991976"/>
    <x v="1"/>
    <n v="2.1368055555555557E-2"/>
  </r>
  <r>
    <n v="844"/>
    <x v="842"/>
    <x v="2"/>
    <x v="0"/>
    <s v="Just Chatting"/>
    <s v="League of Legends"/>
    <n v="4.5999999999999996"/>
    <n v="2530"/>
    <n v="13036"/>
    <n v="1.6"/>
    <n v="7697"/>
    <n v="408000"/>
    <n v="20500000"/>
    <n v="266"/>
    <n v="4.3"/>
    <s v="Sunday"/>
    <x v="1"/>
    <n v="3180.4599194491361"/>
    <x v="1"/>
    <n v="3.1950980392156859E-2"/>
  </r>
  <r>
    <n v="845"/>
    <x v="843"/>
    <x v="7"/>
    <x v="0"/>
    <s v="FIFA 23"/>
    <s v="EA Sports FC 24"/>
    <n v="6.3"/>
    <n v="2260"/>
    <n v="2080"/>
    <n v="1.2"/>
    <n v="4188"/>
    <n v="156000"/>
    <n v="144000"/>
    <n v="9"/>
    <n v="3.3"/>
    <s v="Saturday"/>
    <x v="1"/>
    <n v="2234.9570200573066"/>
    <x v="1"/>
    <n v="1.3333333333333334E-2"/>
  </r>
  <r>
    <n v="846"/>
    <x v="844"/>
    <x v="4"/>
    <x v="0"/>
    <s v="Just Chatting"/>
    <s v="Counter-Strike"/>
    <n v="2.2999999999999998"/>
    <n v="1283"/>
    <n v="7134"/>
    <n v="1.3"/>
    <n v="164"/>
    <n v="939000"/>
    <n v="5220000"/>
    <n v="52"/>
    <n v="2.4"/>
    <s v="Tuesday"/>
    <x v="6"/>
    <n v="343536.58536585368"/>
    <x v="1"/>
    <n v="7.5974440894568691E-3"/>
  </r>
  <r>
    <n v="847"/>
    <x v="845"/>
    <x v="0"/>
    <x v="0"/>
    <s v="Just Chatting"/>
    <s v="VALORANT"/>
    <n v="4.9000000000000004"/>
    <n v="9250"/>
    <n v="22455"/>
    <n v="2.7"/>
    <n v="3666"/>
    <n v="615000"/>
    <n v="14900000"/>
    <n v="256"/>
    <n v="3.5"/>
    <s v="Tuesday"/>
    <x v="4"/>
    <n v="10065.466448445171"/>
    <x v="0"/>
    <n v="3.6512195121951217E-2"/>
  </r>
  <r>
    <n v="848"/>
    <x v="846"/>
    <x v="6"/>
    <x v="0"/>
    <s v="VALORANT"/>
    <s v="PUBG: BATTLEGROUNDS"/>
    <n v="7.4"/>
    <n v="820"/>
    <n v="2265"/>
    <n v="1.5"/>
    <n v="721"/>
    <n v="81000"/>
    <n v="2230000"/>
    <n v="43"/>
    <n v="2.8"/>
    <s v="Wednesday"/>
    <x v="0"/>
    <n v="6740.6380027739242"/>
    <x v="1"/>
    <n v="2.7962962962962964E-2"/>
  </r>
  <r>
    <n v="849"/>
    <x v="847"/>
    <x v="0"/>
    <x v="0"/>
    <s v="Genshin Impact"/>
    <s v="Honkai: Star Rail"/>
    <n v="5.9"/>
    <n v="960"/>
    <n v="3043"/>
    <n v="1.8"/>
    <n v="874"/>
    <n v="150000"/>
    <n v="4740000"/>
    <n v="249"/>
    <n v="4.2"/>
    <s v="Friday"/>
    <x v="4"/>
    <n v="10297.482837528605"/>
    <x v="1"/>
    <n v="2.0286666666666668E-2"/>
  </r>
  <r>
    <n v="850"/>
    <x v="848"/>
    <x v="2"/>
    <x v="0"/>
    <s v="Minecraft"/>
    <s v="Just Chatting"/>
    <n v="3.5"/>
    <n v="7250"/>
    <n v="10002"/>
    <n v="1.7"/>
    <n v="3999"/>
    <n v="925000"/>
    <n v="12600000"/>
    <n v="512"/>
    <n v="2.9"/>
    <s v="Sunday"/>
    <x v="5"/>
    <n v="13878.469617404349"/>
    <x v="1"/>
    <n v="1.0812972972972974E-2"/>
  </r>
  <r>
    <n v="851"/>
    <x v="849"/>
    <x v="2"/>
    <x v="1"/>
    <s v="League of Legends"/>
    <s v="Teamfight Tactics"/>
    <n v="20"/>
    <n v="4680"/>
    <n v="129534"/>
    <n v="3.1"/>
    <n v="41951"/>
    <n v="697000"/>
    <n v="191000000"/>
    <n v="382"/>
    <n v="6.1"/>
    <s v="Sunday"/>
    <x v="1"/>
    <n v="996.87730924173445"/>
    <x v="0"/>
    <n v="0.18584505021520803"/>
  </r>
  <r>
    <n v="852"/>
    <x v="850"/>
    <x v="5"/>
    <x v="0"/>
    <s v="VALORANT"/>
    <s v="Counter-Strike"/>
    <n v="4.7"/>
    <n v="1090"/>
    <n v="8050"/>
    <n v="1"/>
    <n v="363"/>
    <n v="94200"/>
    <n v="700000"/>
    <n v="29"/>
    <n v="2.4"/>
    <s v="Thursday"/>
    <x v="0"/>
    <n v="15570.247933884299"/>
    <x v="1"/>
    <n v="8.5456475583864114E-2"/>
  </r>
  <r>
    <n v="853"/>
    <x v="851"/>
    <x v="1"/>
    <x v="0"/>
    <s v="Counter-Strike"/>
    <s v="Just Chatting"/>
    <n v="5.2"/>
    <n v="1490"/>
    <n v="3388"/>
    <n v="1.3"/>
    <n v="6526"/>
    <n v="208000"/>
    <n v="4730000"/>
    <n v="19"/>
    <n v="3.9"/>
    <s v="Thursday"/>
    <x v="2"/>
    <n v="1912.3505976095619"/>
    <x v="1"/>
    <n v="1.628846153846154E-2"/>
  </r>
  <r>
    <n v="854"/>
    <x v="852"/>
    <x v="5"/>
    <x v="0"/>
    <s v="VALORANT"/>
    <s v="League of Legends"/>
    <n v="7.6"/>
    <n v="2950"/>
    <n v="2749"/>
    <n v="1.3"/>
    <n v="7612"/>
    <n v="352000"/>
    <n v="3280000"/>
    <n v="74"/>
    <n v="6.1"/>
    <s v="Wednesday"/>
    <x v="2"/>
    <n v="2774.5664739884396"/>
    <x v="1"/>
    <n v="7.8096590909090911E-3"/>
  </r>
  <r>
    <n v="855"/>
    <x v="853"/>
    <x v="0"/>
    <x v="0"/>
    <s v="Hearthstone"/>
    <m/>
    <n v="6.4"/>
    <n v="720"/>
    <n v="1384"/>
    <n v="1"/>
    <n v="4691"/>
    <n v="70400"/>
    <n v="1350000"/>
    <n v="1"/>
    <n v="4.9000000000000004"/>
    <s v="Wednesday"/>
    <x v="1"/>
    <n v="900.44766574291191"/>
    <x v="1"/>
    <n v="1.9659090909090911E-2"/>
  </r>
  <r>
    <n v="856"/>
    <x v="854"/>
    <x v="5"/>
    <x v="0"/>
    <s v="VALORANT"/>
    <s v="League of Legends"/>
    <n v="3.4"/>
    <n v="2029"/>
    <n v="1893"/>
    <n v="1.1000000000000001"/>
    <n v="4500"/>
    <n v="331000"/>
    <n v="308000"/>
    <n v="16"/>
    <n v="1.1000000000000001"/>
    <s v="Tuesday"/>
    <x v="1"/>
    <n v="4413.333333333333"/>
    <x v="1"/>
    <n v="5.7190332326283984E-3"/>
  </r>
  <r>
    <n v="857"/>
    <x v="855"/>
    <x v="0"/>
    <x v="0"/>
    <s v="Just Chatting"/>
    <s v="ELDEN RING"/>
    <n v="5.2"/>
    <n v="2490"/>
    <n v="0"/>
    <n v="1.4"/>
    <n v="2451"/>
    <n v="124000"/>
    <n v="2"/>
    <n v="55"/>
    <n v="5.2"/>
    <s v="Thursday"/>
    <x v="2"/>
    <n v="3035.4957160342715"/>
    <x v="1"/>
    <n v="0"/>
  </r>
  <r>
    <n v="858"/>
    <x v="856"/>
    <x v="1"/>
    <x v="0"/>
    <s v="Sports"/>
    <s v="Sports"/>
    <n v="3.2"/>
    <n v="720"/>
    <n v="1275"/>
    <n v="1"/>
    <n v="2888"/>
    <n v="70700"/>
    <n v="1250000"/>
    <n v="14"/>
    <n v="5.6"/>
    <s v="Sunday"/>
    <x v="0"/>
    <n v="1468.8365650969529"/>
    <x v="1"/>
    <n v="1.8033946251768036E-2"/>
  </r>
  <r>
    <n v="859"/>
    <x v="857"/>
    <x v="7"/>
    <x v="0"/>
    <s v="Counter-Strike"/>
    <s v="Dota 2"/>
    <n v="4.2"/>
    <n v="1285"/>
    <n v="3384"/>
    <n v="1.3"/>
    <n v="2353"/>
    <n v="704000"/>
    <n v="18300000"/>
    <n v="21"/>
    <n v="1.4"/>
    <s v="Thursday"/>
    <x v="1"/>
    <n v="17951.551211219718"/>
    <x v="1"/>
    <n v="4.8068181818181821E-3"/>
  </r>
  <r>
    <n v="860"/>
    <x v="858"/>
    <x v="9"/>
    <x v="0"/>
    <s v="Just Chatting"/>
    <s v="League of Legends"/>
    <n v="4.5999999999999996"/>
    <n v="7650"/>
    <n v="12198"/>
    <n v="2.9"/>
    <n v="2658"/>
    <n v="314000"/>
    <n v="5000000"/>
    <n v="182"/>
    <n v="2.7"/>
    <s v="Tuesday"/>
    <x v="1"/>
    <n v="7088.0361173814899"/>
    <x v="0"/>
    <n v="3.8847133757961783E-2"/>
  </r>
  <r>
    <n v="861"/>
    <x v="859"/>
    <x v="7"/>
    <x v="0"/>
    <s v="Virtual Casino"/>
    <s v="Garena Free Fire"/>
    <n v="18.100000000000001"/>
    <n v="310"/>
    <n v="310"/>
    <n v="1"/>
    <n v="7408"/>
    <n v="15200"/>
    <n v="15200"/>
    <n v="5"/>
    <n v="2.4"/>
    <s v="Tuesday"/>
    <x v="3"/>
    <n v="123.11015118790496"/>
    <x v="1"/>
    <n v="2.0394736842105264E-2"/>
  </r>
  <r>
    <n v="862"/>
    <x v="860"/>
    <x v="0"/>
    <x v="0"/>
    <s v="VALORANT"/>
    <s v="Call of Duty: Black Ops 4"/>
    <n v="5.3"/>
    <n v="3810"/>
    <n v="8769"/>
    <n v="1.2"/>
    <n v="5904"/>
    <n v="394000"/>
    <n v="9080000"/>
    <n v="34"/>
    <n v="3"/>
    <s v="Friday"/>
    <x v="3"/>
    <n v="4004.0650406504064"/>
    <x v="1"/>
    <n v="2.2256345177664973E-2"/>
  </r>
  <r>
    <n v="863"/>
    <x v="861"/>
    <x v="0"/>
    <x v="0"/>
    <s v="Just Chatting"/>
    <s v="Grand Theft Auto V"/>
    <n v="7.3"/>
    <n v="3900"/>
    <n v="3596"/>
    <n v="1.8"/>
    <n v="5695"/>
    <n v="262000"/>
    <n v="2410000"/>
    <n v="134"/>
    <n v="4.0999999999999996"/>
    <s v="Tuesday"/>
    <x v="6"/>
    <n v="2760.3160667251973"/>
    <x v="1"/>
    <n v="1.3725190839694656E-2"/>
  </r>
  <r>
    <n v="864"/>
    <x v="862"/>
    <x v="4"/>
    <x v="0"/>
    <s v="Casino"/>
    <m/>
    <n v="5.5"/>
    <n v="40"/>
    <n v="0"/>
    <n v="1"/>
    <n v="60"/>
    <n v="5"/>
    <n v="0"/>
    <n v="1"/>
    <n v="0.6"/>
    <s v="Wednesday"/>
    <x v="6"/>
    <n v="5"/>
    <x v="1"/>
    <n v="0"/>
  </r>
  <r>
    <n v="865"/>
    <x v="863"/>
    <x v="1"/>
    <x v="0"/>
    <s v="Counter-Strike"/>
    <s v="Fortnite"/>
    <n v="3.5"/>
    <n v="8847"/>
    <n v="0"/>
    <n v="1.5"/>
    <n v="3450"/>
    <n v="2470000"/>
    <n v="0"/>
    <n v="30"/>
    <n v="3.4"/>
    <s v="Tuesday"/>
    <x v="1"/>
    <n v="42956.521739130432"/>
    <x v="1"/>
    <n v="0"/>
  </r>
  <r>
    <n v="866"/>
    <x v="864"/>
    <x v="4"/>
    <x v="0"/>
    <s v="Hearthstone"/>
    <s v="World of Warcraft"/>
    <n v="6"/>
    <n v="580"/>
    <n v="8070"/>
    <n v="1.1000000000000001"/>
    <n v="704"/>
    <n v="69500"/>
    <n v="971000"/>
    <n v="49"/>
    <n v="3.5"/>
    <s v="Saturday"/>
    <x v="3"/>
    <n v="5923.295454545455"/>
    <x v="1"/>
    <n v="0.11611510791366907"/>
  </r>
  <r>
    <n v="867"/>
    <x v="865"/>
    <x v="2"/>
    <x v="0"/>
    <s v="Just Chatting"/>
    <s v="ELDEN RING"/>
    <n v="3.4"/>
    <n v="3590"/>
    <n v="3686"/>
    <n v="2"/>
    <n v="2001"/>
    <n v="241000"/>
    <n v="2370000"/>
    <n v="330"/>
    <n v="1.5"/>
    <s v="Saturday"/>
    <x v="0"/>
    <n v="7226.3868065967017"/>
    <x v="1"/>
    <n v="1.5294605809128631E-2"/>
  </r>
  <r>
    <n v="868"/>
    <x v="866"/>
    <x v="0"/>
    <x v="0"/>
    <s v="Fortnite"/>
    <s v="For Honor"/>
    <n v="6.6"/>
    <n v="2586"/>
    <n v="41334"/>
    <n v="1.3"/>
    <n v="1584"/>
    <n v="6940000"/>
    <n v="112000000"/>
    <n v="68"/>
    <n v="6.1"/>
    <s v="Tuesday"/>
    <x v="1"/>
    <n v="262878.7878787879"/>
    <x v="1"/>
    <n v="5.9559077809798267E-3"/>
  </r>
  <r>
    <n v="869"/>
    <x v="867"/>
    <x v="1"/>
    <x v="0"/>
    <s v="Just Chatting"/>
    <s v="Fortnite"/>
    <n v="3.5"/>
    <n v="1779"/>
    <n v="3098"/>
    <n v="2.2000000000000002"/>
    <n v="1982"/>
    <n v="821000"/>
    <n v="14300000"/>
    <n v="178"/>
    <n v="1.7"/>
    <s v="Wednesday"/>
    <x v="1"/>
    <n v="24853.683148335018"/>
    <x v="0"/>
    <n v="3.7734470158343482E-3"/>
  </r>
  <r>
    <n v="870"/>
    <x v="868"/>
    <x v="1"/>
    <x v="0"/>
    <s v="Rust"/>
    <s v="Escape from Tarkov"/>
    <n v="4.9000000000000004"/>
    <n v="3740"/>
    <n v="14417"/>
    <n v="1.3"/>
    <n v="7242"/>
    <n v="476000"/>
    <n v="18400000"/>
    <n v="66"/>
    <n v="3.8"/>
    <s v="Friday"/>
    <x v="5"/>
    <n v="3943.6619718309857"/>
    <x v="1"/>
    <n v="3.0287815126050419E-2"/>
  </r>
  <r>
    <n v="871"/>
    <x v="869"/>
    <x v="0"/>
    <x v="0"/>
    <s v="Fortnite"/>
    <s v="VALORANT"/>
    <n v="3.5"/>
    <n v="423"/>
    <n v="86632"/>
    <n v="1.1000000000000001"/>
    <n v="3332"/>
    <n v="4030000"/>
    <n v="82500000"/>
    <n v="23"/>
    <n v="3"/>
    <s v="Wednesday"/>
    <x v="0"/>
    <n v="72569.027611044425"/>
    <x v="1"/>
    <n v="2.1496774193548385E-2"/>
  </r>
  <r>
    <n v="872"/>
    <x v="870"/>
    <x v="0"/>
    <x v="0"/>
    <s v="Counter-Strike"/>
    <s v="Just Chatting"/>
    <n v="6.4"/>
    <n v="960"/>
    <n v="3710"/>
    <n v="2.7"/>
    <n v="6991"/>
    <n v="103000"/>
    <n v="398000"/>
    <n v="371"/>
    <n v="4"/>
    <s v="Sunday"/>
    <x v="0"/>
    <n v="883.99370619367755"/>
    <x v="0"/>
    <n v="3.6019417475728156E-2"/>
  </r>
  <r>
    <n v="873"/>
    <x v="871"/>
    <x v="2"/>
    <x v="0"/>
    <s v="FIFA 23"/>
    <s v="EA Sports FC 24"/>
    <n v="3.6"/>
    <n v="3400"/>
    <n v="4527"/>
    <n v="1.1000000000000001"/>
    <n v="535"/>
    <n v="475000"/>
    <n v="6330000"/>
    <n v="38"/>
    <n v="3.9"/>
    <s v="Sunday"/>
    <x v="1"/>
    <n v="53271.028037383185"/>
    <x v="1"/>
    <n v="9.5305263157894737E-3"/>
  </r>
  <r>
    <n v="874"/>
    <x v="872"/>
    <x v="4"/>
    <x v="0"/>
    <s v="Casino"/>
    <m/>
    <n v="5.2"/>
    <n v="0"/>
    <n v="0"/>
    <n v="1"/>
    <n v="100"/>
    <n v="0"/>
    <n v="0"/>
    <n v="1"/>
    <n v="2"/>
    <s v="Tuesday"/>
    <x v="4"/>
    <n v="0"/>
    <x v="1"/>
    <e v="#DIV/0!"/>
  </r>
  <r>
    <n v="875"/>
    <x v="873"/>
    <x v="0"/>
    <x v="0"/>
    <s v="Resident Evil 3: Nemesis"/>
    <s v="Resident Evil"/>
    <n v="7.3"/>
    <n v="760"/>
    <n v="4783"/>
    <n v="2.4"/>
    <n v="17502"/>
    <n v="182000"/>
    <n v="11000000"/>
    <n v="646"/>
    <n v="6.1"/>
    <s v="Thursday"/>
    <x v="5"/>
    <n v="623.92869386355846"/>
    <x v="0"/>
    <n v="2.6280219780219782E-2"/>
  </r>
  <r>
    <n v="876"/>
    <x v="874"/>
    <x v="0"/>
    <x v="0"/>
    <s v="Hearthstone"/>
    <s v="Magic: The Gathering"/>
    <n v="6.5"/>
    <n v="2800"/>
    <n v="4874"/>
    <n v="1.1000000000000001"/>
    <n v="13412"/>
    <n v="796000"/>
    <n v="114000000"/>
    <n v="48"/>
    <n v="5.3"/>
    <s v="Tuesday"/>
    <x v="0"/>
    <n v="3560.9901580674023"/>
    <x v="1"/>
    <n v="6.1231155778894474E-3"/>
  </r>
  <r>
    <n v="877"/>
    <x v="875"/>
    <x v="0"/>
    <x v="0"/>
    <s v="Path of Exile"/>
    <s v="World of Warcraft"/>
    <n v="8.6"/>
    <n v="870"/>
    <n v="23953"/>
    <n v="1.5"/>
    <n v="23479"/>
    <n v="846000"/>
    <n v="149000000"/>
    <n v="1300"/>
    <n v="6.7"/>
    <s v="Friday"/>
    <x v="1"/>
    <n v="2161.9319391796926"/>
    <x v="1"/>
    <n v="2.8313238770685579E-2"/>
  </r>
  <r>
    <n v="878"/>
    <x v="876"/>
    <x v="0"/>
    <x v="0"/>
    <s v="Just Chatting"/>
    <s v="Minecraft"/>
    <n v="3.6"/>
    <n v="6210"/>
    <n v="1478"/>
    <n v="1.8"/>
    <n v="3411"/>
    <n v="474000"/>
    <n v="1130000"/>
    <n v="219"/>
    <n v="5.4"/>
    <s v="Thursday"/>
    <x v="1"/>
    <n v="8337.7308707124012"/>
    <x v="1"/>
    <n v="3.118143459915612E-3"/>
  </r>
  <r>
    <n v="879"/>
    <x v="877"/>
    <x v="7"/>
    <x v="0"/>
    <s v="Just Chatting"/>
    <s v="Variety"/>
    <n v="2.8"/>
    <n v="1811"/>
    <n v="6450"/>
    <n v="1"/>
    <n v="3630"/>
    <n v="234000"/>
    <n v="87600"/>
    <n v="3"/>
    <n v="1"/>
    <s v="Sunday"/>
    <x v="2"/>
    <n v="3867.7685950413224"/>
    <x v="1"/>
    <n v="2.7564102564102563E-2"/>
  </r>
  <r>
    <n v="880"/>
    <x v="878"/>
    <x v="0"/>
    <x v="0"/>
    <s v="Overwatch"/>
    <s v="League of Legends"/>
    <n v="5.7"/>
    <n v="2770"/>
    <n v="8004"/>
    <n v="1.4"/>
    <n v="8936"/>
    <n v="461000"/>
    <n v="12300000"/>
    <n v="202"/>
    <n v="4"/>
    <s v="Tuesday"/>
    <x v="1"/>
    <n v="3095.3446732318712"/>
    <x v="1"/>
    <n v="1.7362255965292842E-2"/>
  </r>
  <r>
    <n v="881"/>
    <x v="879"/>
    <x v="0"/>
    <x v="0"/>
    <s v="Team Fortress 2"/>
    <s v="Minecraft"/>
    <n v="3.9"/>
    <n v="8900"/>
    <n v="13884"/>
    <n v="1.2"/>
    <n v="5286"/>
    <n v="1170000"/>
    <n v="18300000"/>
    <n v="483"/>
    <n v="3.5"/>
    <s v="Sunday"/>
    <x v="0"/>
    <n v="13280.363223609536"/>
    <x v="1"/>
    <n v="1.1866666666666666E-2"/>
  </r>
  <r>
    <n v="882"/>
    <x v="880"/>
    <x v="5"/>
    <x v="0"/>
    <s v="Just Chatting"/>
    <s v="Shadowverse"/>
    <n v="4.5"/>
    <n v="3910"/>
    <n v="7190"/>
    <n v="1.1000000000000001"/>
    <n v="4030"/>
    <n v="51200"/>
    <n v="93800"/>
    <n v="25"/>
    <n v="0.5"/>
    <s v="Friday"/>
    <x v="6"/>
    <n v="762.28287841191059"/>
    <x v="1"/>
    <n v="0.14042968750000001"/>
  </r>
  <r>
    <n v="883"/>
    <x v="881"/>
    <x v="0"/>
    <x v="0"/>
    <s v="Just Chatting"/>
    <s v="Grand Theft Auto V"/>
    <n v="4.5999999999999996"/>
    <n v="2520"/>
    <n v="1970"/>
    <n v="2.1"/>
    <n v="3778"/>
    <n v="161000"/>
    <n v="127000"/>
    <n v="231"/>
    <n v="4.8"/>
    <s v="Wednesday"/>
    <x v="1"/>
    <n v="2556.9084171519321"/>
    <x v="0"/>
    <n v="1.2236024844720497E-2"/>
  </r>
  <r>
    <n v="884"/>
    <x v="882"/>
    <x v="1"/>
    <x v="0"/>
    <s v="Talk Shows &amp; Podcasts"/>
    <s v="Variety"/>
    <n v="8.6999999999999993"/>
    <n v="5230"/>
    <n v="5340"/>
    <n v="1"/>
    <n v="6194"/>
    <n v="402000"/>
    <n v="411000"/>
    <n v="3"/>
    <n v="5"/>
    <s v="Wednesday"/>
    <x v="4"/>
    <n v="3894.0910558605101"/>
    <x v="1"/>
    <n v="1.3283582089552239E-2"/>
  </r>
  <r>
    <n v="885"/>
    <x v="883"/>
    <x v="0"/>
    <x v="0"/>
    <s v="Sea of Thieves"/>
    <s v="ELDEN RING"/>
    <n v="6.8"/>
    <n v="1360"/>
    <n v="3659"/>
    <n v="1.3"/>
    <n v="7866"/>
    <n v="159000"/>
    <n v="4280000"/>
    <n v="46"/>
    <n v="3.3"/>
    <s v="Monday"/>
    <x v="3"/>
    <n v="1212.8146453089246"/>
    <x v="1"/>
    <n v="2.3012578616352201E-2"/>
  </r>
  <r>
    <n v="886"/>
    <x v="884"/>
    <x v="4"/>
    <x v="0"/>
    <s v="Casino"/>
    <m/>
    <n v="8.3000000000000007"/>
    <n v="8640"/>
    <n v="0"/>
    <n v="1"/>
    <n v="170"/>
    <n v="864"/>
    <n v="0"/>
    <n v="1"/>
    <n v="0.4"/>
    <s v="Thursday"/>
    <x v="3"/>
    <n v="304.94117647058823"/>
    <x v="1"/>
    <n v="0"/>
  </r>
  <r>
    <n v="887"/>
    <x v="885"/>
    <x v="0"/>
    <x v="0"/>
    <s v="Just Chatting"/>
    <s v="I'm Only Sleeping"/>
    <n v="5.5"/>
    <n v="9440"/>
    <n v="3847"/>
    <n v="1.7"/>
    <n v="3249"/>
    <n v="535000"/>
    <n v="2180000"/>
    <n v="222"/>
    <n v="1.9"/>
    <s v="Saturday"/>
    <x v="1"/>
    <n v="9879.9630655586334"/>
    <x v="1"/>
    <n v="7.1906542056074767E-3"/>
  </r>
  <r>
    <n v="888"/>
    <x v="886"/>
    <x v="7"/>
    <x v="0"/>
    <s v="Counter-Strike"/>
    <s v="Among Us"/>
    <n v="4.2"/>
    <n v="9470"/>
    <n v="7344"/>
    <n v="1.2"/>
    <n v="8090"/>
    <n v="156000"/>
    <n v="1210000"/>
    <n v="18"/>
    <n v="0.6"/>
    <s v="Thursday"/>
    <x v="6"/>
    <n v="1156.983930778739"/>
    <x v="1"/>
    <n v="4.7076923076923079E-2"/>
  </r>
  <r>
    <n v="889"/>
    <x v="887"/>
    <x v="7"/>
    <x v="0"/>
    <s v="Virtual Casino"/>
    <m/>
    <n v="19.899999999999999"/>
    <n v="230"/>
    <n v="0"/>
    <n v="1"/>
    <n v="1400"/>
    <n v="1500"/>
    <n v="0"/>
    <n v="1"/>
    <n v="7"/>
    <s v="Monday"/>
    <x v="5"/>
    <n v="64.285714285714292"/>
    <x v="1"/>
    <n v="0"/>
  </r>
  <r>
    <n v="890"/>
    <x v="888"/>
    <x v="0"/>
    <x v="0"/>
    <s v="Just Chatting"/>
    <s v="Food &amp; Drink"/>
    <n v="5.2"/>
    <n v="3510"/>
    <n v="5640"/>
    <n v="1.3"/>
    <n v="3044"/>
    <n v="206000"/>
    <n v="332000"/>
    <n v="92"/>
    <n v="4"/>
    <s v="Wednesday"/>
    <x v="0"/>
    <n v="4060.4467805519052"/>
    <x v="1"/>
    <n v="2.7378640776699031E-2"/>
  </r>
  <r>
    <n v="891"/>
    <x v="889"/>
    <x v="0"/>
    <x v="0"/>
    <s v="World of Warcraft"/>
    <s v="League of Legends"/>
    <n v="5.2"/>
    <n v="1650"/>
    <n v="9304"/>
    <n v="1"/>
    <n v="12035"/>
    <n v="444000"/>
    <n v="24500000"/>
    <n v="37"/>
    <n v="5.9"/>
    <s v="Monday"/>
    <x v="4"/>
    <n v="2213.5438304943914"/>
    <x v="1"/>
    <n v="2.0954954954954953E-2"/>
  </r>
  <r>
    <n v="892"/>
    <x v="890"/>
    <x v="0"/>
    <x v="0"/>
    <s v="Overwatch"/>
    <s v="Apex Legends"/>
    <n v="5.4"/>
    <n v="4800"/>
    <n v="22626"/>
    <n v="1.6"/>
    <n v="8601"/>
    <n v="1160000"/>
    <n v="45600000"/>
    <n v="243"/>
    <n v="4.0999999999999996"/>
    <s v="Wednesday"/>
    <x v="4"/>
    <n v="8092.0823160097671"/>
    <x v="1"/>
    <n v="1.9505172413793105E-2"/>
  </r>
  <r>
    <n v="893"/>
    <x v="891"/>
    <x v="0"/>
    <x v="0"/>
    <s v="World of Warcraft"/>
    <s v="FINAL FANTASY XIV ONLINE"/>
    <n v="8"/>
    <n v="1630"/>
    <n v="18924"/>
    <n v="1.7"/>
    <n v="19446"/>
    <n v="426000"/>
    <n v="44100000"/>
    <n v="311"/>
    <n v="6.2"/>
    <s v="Saturday"/>
    <x v="0"/>
    <n v="1314.4091329836469"/>
    <x v="1"/>
    <n v="4.4422535211267607E-2"/>
  </r>
  <r>
    <n v="894"/>
    <x v="892"/>
    <x v="9"/>
    <x v="0"/>
    <s v="Fortnite"/>
    <s v="Fall Guys"/>
    <n v="4.4000000000000004"/>
    <n v="1490"/>
    <n v="589"/>
    <n v="1.1000000000000001"/>
    <n v="5273"/>
    <n v="202000"/>
    <n v="7980000"/>
    <n v="36"/>
    <n v="4.3"/>
    <s v="Saturday"/>
    <x v="1"/>
    <n v="2298.50180163095"/>
    <x v="1"/>
    <n v="2.9158415841584158E-3"/>
  </r>
  <r>
    <n v="895"/>
    <x v="893"/>
    <x v="5"/>
    <x v="0"/>
    <s v="Grand Theft Auto V"/>
    <s v="VALORANT"/>
    <n v="7.2"/>
    <n v="3000"/>
    <n v="70"/>
    <n v="1.2"/>
    <n v="2147"/>
    <n v="98700"/>
    <n v="19800"/>
    <n v="45"/>
    <n v="0.8"/>
    <s v="Friday"/>
    <x v="4"/>
    <n v="2758.2673497904052"/>
    <x v="1"/>
    <n v="7.0921985815602842E-4"/>
  </r>
  <r>
    <n v="896"/>
    <x v="894"/>
    <x v="6"/>
    <x v="0"/>
    <s v="Just Chatting"/>
    <s v="Fall Guys"/>
    <n v="8.1"/>
    <n v="3880"/>
    <n v="25354"/>
    <n v="2.2000000000000002"/>
    <n v="8475"/>
    <n v="408000"/>
    <n v="26600000"/>
    <n v="191"/>
    <n v="5.6"/>
    <s v="Friday"/>
    <x v="0"/>
    <n v="2888.4955752212391"/>
    <x v="0"/>
    <n v="6.2142156862745095E-2"/>
  </r>
  <r>
    <n v="897"/>
    <x v="895"/>
    <x v="4"/>
    <x v="0"/>
    <s v="Casino"/>
    <m/>
    <n v="8.4"/>
    <n v="1840"/>
    <n v="0"/>
    <n v="1"/>
    <n v="250"/>
    <n v="553"/>
    <n v="0"/>
    <n v="1"/>
    <n v="0.7"/>
    <s v="Friday"/>
    <x v="0"/>
    <n v="132.72"/>
    <x v="1"/>
    <n v="0"/>
  </r>
  <r>
    <n v="898"/>
    <x v="896"/>
    <x v="0"/>
    <x v="0"/>
    <s v="Destiny 2"/>
    <s v="Fortnite"/>
    <n v="8.5"/>
    <n v="2450"/>
    <n v="1636"/>
    <n v="1.3"/>
    <n v="17639"/>
    <n v="562000"/>
    <n v="33000000"/>
    <n v="179"/>
    <n v="5.3"/>
    <s v="Sunday"/>
    <x v="0"/>
    <n v="1911.6729973354497"/>
    <x v="1"/>
    <n v="2.9110320284697509E-3"/>
  </r>
  <r>
    <n v="899"/>
    <x v="897"/>
    <x v="4"/>
    <x v="0"/>
    <s v="Casino"/>
    <m/>
    <n v="5"/>
    <n v="10"/>
    <n v="0"/>
    <n v="1"/>
    <n v="50"/>
    <n v="2"/>
    <n v="0"/>
    <n v="1"/>
    <n v="0.2"/>
    <s v="Tuesday"/>
    <x v="4"/>
    <n v="2.4"/>
    <x v="1"/>
    <n v="0"/>
  </r>
  <r>
    <n v="900"/>
    <x v="898"/>
    <x v="1"/>
    <x v="0"/>
    <s v="Just Chatting"/>
    <s v="League of Legends"/>
    <n v="3.6"/>
    <n v="5100"/>
    <n v="17282"/>
    <n v="2"/>
    <n v="4982"/>
    <n v="551000"/>
    <n v="18600000"/>
    <n v="138"/>
    <n v="4"/>
    <s v="Sunday"/>
    <x v="2"/>
    <n v="6635.8892011240468"/>
    <x v="1"/>
    <n v="3.1364791288566243E-2"/>
  </r>
  <r>
    <n v="901"/>
    <x v="899"/>
    <x v="3"/>
    <x v="0"/>
    <s v="Just Chatting"/>
    <s v="Rust"/>
    <n v="4.8"/>
    <n v="2120"/>
    <n v="2340"/>
    <n v="1.5"/>
    <n v="3821"/>
    <n v="169000"/>
    <n v="186000"/>
    <n v="113"/>
    <n v="2.2999999999999998"/>
    <s v="Wednesday"/>
    <x v="1"/>
    <n v="2653.7555613713689"/>
    <x v="1"/>
    <n v="1.3846153846153847E-2"/>
  </r>
  <r>
    <n v="902"/>
    <x v="900"/>
    <x v="3"/>
    <x v="0"/>
    <s v="Sports"/>
    <s v="Just Chatting"/>
    <n v="5.6"/>
    <n v="1150"/>
    <n v="4788"/>
    <n v="1.1000000000000001"/>
    <n v="3846"/>
    <n v="85000"/>
    <n v="35100000"/>
    <n v="16"/>
    <n v="3.3"/>
    <s v="Saturday"/>
    <x v="0"/>
    <n v="1326.0530421216849"/>
    <x v="1"/>
    <n v="5.6329411764705885E-2"/>
  </r>
  <r>
    <n v="903"/>
    <x v="901"/>
    <x v="7"/>
    <x v="0"/>
    <s v="VALORANT"/>
    <s v="Variety"/>
    <n v="3.3"/>
    <n v="9350"/>
    <n v="2154"/>
    <n v="1"/>
    <n v="7270"/>
    <n v="187000"/>
    <n v="431000"/>
    <n v="2"/>
    <n v="0.8"/>
    <s v="Wednesday"/>
    <x v="1"/>
    <n v="1543.3287482806052"/>
    <x v="1"/>
    <n v="1.1518716577540108E-2"/>
  </r>
  <r>
    <n v="904"/>
    <x v="902"/>
    <x v="0"/>
    <x v="0"/>
    <s v="Tekken 7"/>
    <s v="Dead by Daylight"/>
    <n v="5.5"/>
    <n v="950"/>
    <n v="1811"/>
    <n v="1.3"/>
    <n v="9092"/>
    <n v="177000"/>
    <n v="3390000"/>
    <n v="81"/>
    <n v="4.2"/>
    <s v="Tuesday"/>
    <x v="1"/>
    <n v="1168.0598328200615"/>
    <x v="1"/>
    <n v="1.0231638418079097E-2"/>
  </r>
  <r>
    <n v="905"/>
    <x v="903"/>
    <x v="4"/>
    <x v="0"/>
    <s v="Dota 2"/>
    <s v="PUBG: BATTLEGROUNDS"/>
    <n v="5.8"/>
    <n v="540"/>
    <n v="1238"/>
    <n v="1.3"/>
    <n v="12087"/>
    <n v="491000"/>
    <n v="121000000"/>
    <n v="26"/>
    <n v="5.3"/>
    <s v="Thursday"/>
    <x v="5"/>
    <n v="2437.3293621245966"/>
    <x v="1"/>
    <n v="2.5213849287169044E-3"/>
  </r>
  <r>
    <n v="906"/>
    <x v="904"/>
    <x v="1"/>
    <x v="0"/>
    <s v="FIFA 23"/>
    <s v="EA Sports FC 24"/>
    <n v="4.0999999999999996"/>
    <n v="1470"/>
    <n v="5360"/>
    <n v="1.1000000000000001"/>
    <n v="5446"/>
    <n v="202000"/>
    <n v="737000"/>
    <n v="17"/>
    <n v="5.0999999999999996"/>
    <s v="Saturday"/>
    <x v="1"/>
    <n v="2225.4865956665444"/>
    <x v="1"/>
    <n v="2.6534653465346534E-2"/>
  </r>
  <r>
    <n v="907"/>
    <x v="905"/>
    <x v="0"/>
    <x v="0"/>
    <s v="Destiny 2"/>
    <s v="Destiny"/>
    <n v="7.1"/>
    <n v="2000"/>
    <n v="19406"/>
    <n v="1.4"/>
    <n v="10743"/>
    <n v="1000000"/>
    <n v="49700000"/>
    <n v="243"/>
    <n v="3.8"/>
    <s v="Thursday"/>
    <x v="4"/>
    <n v="5585.0321139346552"/>
    <x v="1"/>
    <n v="1.9406E-2"/>
  </r>
  <r>
    <n v="908"/>
    <x v="906"/>
    <x v="0"/>
    <x v="0"/>
    <s v="Just Chatting"/>
    <s v="Minecraft"/>
    <n v="3"/>
    <n v="2185"/>
    <n v="1187"/>
    <n v="1.1000000000000001"/>
    <n v="1409"/>
    <n v="739000"/>
    <n v="4010000"/>
    <n v="19"/>
    <n v="1.9"/>
    <s v="Saturday"/>
    <x v="2"/>
    <n v="31469.127040454223"/>
    <x v="1"/>
    <n v="1.6062246278755075E-3"/>
  </r>
  <r>
    <n v="909"/>
    <x v="907"/>
    <x v="0"/>
    <x v="0"/>
    <s v="Just Chatting"/>
    <s v="Pokemon Sword/Shield"/>
    <n v="4.3"/>
    <n v="1210"/>
    <n v="699"/>
    <n v="1.8"/>
    <n v="10558"/>
    <n v="596000"/>
    <n v="18800000"/>
    <n v="905"/>
    <n v="6.2"/>
    <s v="Wednesday"/>
    <x v="1"/>
    <n v="3387.0051146050387"/>
    <x v="1"/>
    <n v="1.1728187919463088E-3"/>
  </r>
  <r>
    <n v="910"/>
    <x v="908"/>
    <x v="0"/>
    <x v="0"/>
    <s v="Destiny 2"/>
    <s v="Valheim"/>
    <n v="9.6"/>
    <n v="2990"/>
    <n v="17498"/>
    <n v="1.3"/>
    <n v="21684"/>
    <n v="534000"/>
    <n v="31200000"/>
    <n v="210"/>
    <n v="5.8"/>
    <s v="Wednesday"/>
    <x v="0"/>
    <n v="1477.5871610403985"/>
    <x v="1"/>
    <n v="3.2767790262172282E-2"/>
  </r>
  <r>
    <n v="911"/>
    <x v="909"/>
    <x v="0"/>
    <x v="0"/>
    <s v="Art"/>
    <s v="Just Chatting"/>
    <n v="4.5999999999999996"/>
    <n v="4310"/>
    <n v="5482"/>
    <n v="1.4"/>
    <n v="4711"/>
    <n v="418000"/>
    <n v="5310000"/>
    <n v="277"/>
    <n v="2.8"/>
    <s v="Saturday"/>
    <x v="1"/>
    <n v="5323.7104648694549"/>
    <x v="1"/>
    <n v="1.3114832535885168E-2"/>
  </r>
  <r>
    <n v="912"/>
    <x v="910"/>
    <x v="0"/>
    <x v="1"/>
    <s v="World of Warcraft"/>
    <s v="FINAL FANTASY XIV ONLINE"/>
    <n v="19.399999999999999"/>
    <n v="3375"/>
    <n v="249671"/>
    <n v="1"/>
    <n v="2701"/>
    <n v="326000"/>
    <n v="23200000"/>
    <n v="5"/>
    <n v="0.7"/>
    <s v="Friday"/>
    <x v="0"/>
    <n v="7241.7623102554608"/>
    <x v="1"/>
    <n v="0.76586196319018407"/>
  </r>
  <r>
    <n v="913"/>
    <x v="911"/>
    <x v="1"/>
    <x v="0"/>
    <s v="League of Legends"/>
    <s v="Escape from Tarkov"/>
    <n v="5.0999999999999996"/>
    <n v="3000"/>
    <n v="19596"/>
    <n v="1.4"/>
    <n v="8224"/>
    <n v="452000"/>
    <n v="29300000"/>
    <n v="89"/>
    <n v="4.0999999999999996"/>
    <s v="Wednesday"/>
    <x v="6"/>
    <n v="3297.6653696498056"/>
    <x v="1"/>
    <n v="4.3353982300884955E-2"/>
  </r>
  <r>
    <n v="914"/>
    <x v="912"/>
    <x v="1"/>
    <x v="0"/>
    <s v="Just Chatting"/>
    <s v="World of Warcraft"/>
    <n v="6"/>
    <n v="6010"/>
    <n v="7758"/>
    <n v="2"/>
    <n v="5288"/>
    <n v="517000"/>
    <n v="6670000"/>
    <n v="237"/>
    <n v="4.5"/>
    <s v="Sunday"/>
    <x v="0"/>
    <n v="5866.1119515885021"/>
    <x v="1"/>
    <n v="1.5005802707930367E-2"/>
  </r>
  <r>
    <n v="915"/>
    <x v="913"/>
    <x v="0"/>
    <x v="0"/>
    <s v="Special Events"/>
    <s v="Variety"/>
    <n v="4.7"/>
    <n v="5590"/>
    <n v="0"/>
    <n v="2"/>
    <n v="90"/>
    <n v="1200"/>
    <n v="0"/>
    <n v="3"/>
    <n v="0.1"/>
    <s v="Thursday"/>
    <x v="5"/>
    <n v="800"/>
    <x v="1"/>
    <n v="0"/>
  </r>
  <r>
    <n v="916"/>
    <x v="914"/>
    <x v="0"/>
    <x v="0"/>
    <s v="Counter-Strike"/>
    <s v="Slots"/>
    <n v="3.1"/>
    <n v="2450"/>
    <n v="2350"/>
    <n v="1.1000000000000001"/>
    <n v="1518"/>
    <n v="115000"/>
    <n v="110000"/>
    <n v="7"/>
    <n v="2.1"/>
    <s v="Wednesday"/>
    <x v="1"/>
    <n v="4545.454545454545"/>
    <x v="1"/>
    <n v="2.0434782608695651E-2"/>
  </r>
  <r>
    <n v="917"/>
    <x v="915"/>
    <x v="1"/>
    <x v="0"/>
    <s v="Garena Free Fire"/>
    <s v="Just Chatting"/>
    <n v="4.8"/>
    <n v="3460"/>
    <n v="4528"/>
    <n v="1.7"/>
    <n v="5019"/>
    <n v="410000"/>
    <n v="5360000"/>
    <n v="55"/>
    <n v="5"/>
    <s v="Thursday"/>
    <x v="2"/>
    <n v="4901.3747758517629"/>
    <x v="1"/>
    <n v="1.1043902439024391E-2"/>
  </r>
  <r>
    <n v="918"/>
    <x v="916"/>
    <x v="5"/>
    <x v="0"/>
    <s v="Escape from Tarkov"/>
    <s v="Grand Theft Auto V"/>
    <n v="6.8"/>
    <n v="320"/>
    <n v="9230"/>
    <n v="1.1000000000000001"/>
    <n v="7798"/>
    <n v="40300"/>
    <n v="1160000"/>
    <n v="30"/>
    <n v="5.3"/>
    <s v="Sunday"/>
    <x v="0"/>
    <n v="310.07950756604259"/>
    <x v="1"/>
    <n v="0.22903225806451613"/>
  </r>
  <r>
    <n v="919"/>
    <x v="917"/>
    <x v="0"/>
    <x v="0"/>
    <s v="Trackmania"/>
    <s v="TrackMania"/>
    <n v="2.7"/>
    <n v="4940"/>
    <n v="40"/>
    <n v="1"/>
    <n v="1130"/>
    <n v="19800"/>
    <n v="333"/>
    <n v="4"/>
    <n v="0.1"/>
    <s v="Monday"/>
    <x v="1"/>
    <n v="1051.3274336283187"/>
    <x v="1"/>
    <n v="2.0202020202020202E-3"/>
  </r>
  <r>
    <n v="920"/>
    <x v="918"/>
    <x v="0"/>
    <x v="0"/>
    <s v="Counter-Strike"/>
    <s v="Just Chatting"/>
    <n v="4.4000000000000004"/>
    <n v="6040"/>
    <n v="0"/>
    <n v="1.8"/>
    <n v="960"/>
    <n v="14200"/>
    <n v="0"/>
    <n v="8"/>
    <n v="2.7"/>
    <s v="Friday"/>
    <x v="0"/>
    <n v="887.5"/>
    <x v="1"/>
    <n v="0"/>
  </r>
  <r>
    <n v="921"/>
    <x v="919"/>
    <x v="0"/>
    <x v="0"/>
    <s v="League of Legends"/>
    <s v="VALORANT"/>
    <n v="5.2"/>
    <n v="4770"/>
    <n v="25425"/>
    <n v="1.9"/>
    <n v="11422"/>
    <n v="996000"/>
    <n v="51100000"/>
    <n v="263"/>
    <n v="5.6"/>
    <s v="Thursday"/>
    <x v="1"/>
    <n v="5232.008404832779"/>
    <x v="1"/>
    <n v="2.552710843373494E-2"/>
  </r>
  <r>
    <n v="922"/>
    <x v="920"/>
    <x v="8"/>
    <x v="0"/>
    <s v="Just Chatting"/>
    <s v="Super Smash Bros. Ultimate"/>
    <n v="3.1"/>
    <n v="4380"/>
    <n v="4588"/>
    <n v="1.8"/>
    <n v="2284"/>
    <n v="257000"/>
    <n v="2650000"/>
    <n v="190"/>
    <n v="2"/>
    <s v="Saturday"/>
    <x v="2"/>
    <n v="6751.3134851138348"/>
    <x v="1"/>
    <n v="1.7852140077821013E-2"/>
  </r>
  <r>
    <n v="923"/>
    <x v="921"/>
    <x v="3"/>
    <x v="0"/>
    <s v="Diablo III"/>
    <s v="Diablo IV"/>
    <n v="5.2"/>
    <n v="1120"/>
    <n v="19253"/>
    <n v="1.4"/>
    <n v="8879"/>
    <n v="223000"/>
    <n v="37600000"/>
    <n v="114"/>
    <n v="4.4000000000000004"/>
    <s v="Friday"/>
    <x v="3"/>
    <n v="1506.9264556819462"/>
    <x v="1"/>
    <n v="8.6336322869955157E-2"/>
  </r>
  <r>
    <n v="924"/>
    <x v="922"/>
    <x v="0"/>
    <x v="0"/>
    <s v="League of Legends"/>
    <s v="Minecraft"/>
    <n v="4.8"/>
    <n v="3720"/>
    <n v="6220"/>
    <n v="1"/>
    <n v="6551"/>
    <n v="505000"/>
    <n v="842000"/>
    <n v="11"/>
    <n v="4.2"/>
    <s v="Thursday"/>
    <x v="0"/>
    <n v="4625.2480537322544"/>
    <x v="1"/>
    <n v="1.2316831683168317E-2"/>
  </r>
  <r>
    <n v="925"/>
    <x v="923"/>
    <x v="4"/>
    <x v="0"/>
    <s v="Casino"/>
    <m/>
    <n v="6.8"/>
    <n v="10"/>
    <n v="0"/>
    <n v="1"/>
    <n v="70"/>
    <n v="1"/>
    <n v="0"/>
    <n v="1"/>
    <n v="1"/>
    <s v="Tuesday"/>
    <x v="4"/>
    <n v="0.8571428571428571"/>
    <x v="1"/>
    <n v="0"/>
  </r>
  <r>
    <n v="926"/>
    <x v="924"/>
    <x v="0"/>
    <x v="0"/>
    <s v="Dead by Daylight"/>
    <s v="The Texas Chain Saw Massacre"/>
    <n v="4.3"/>
    <n v="4310"/>
    <n v="5203"/>
    <n v="1.1000000000000001"/>
    <n v="3945"/>
    <n v="358000"/>
    <n v="4340000"/>
    <n v="37"/>
    <n v="2.4"/>
    <s v="Friday"/>
    <x v="5"/>
    <n v="5444.8669201520916"/>
    <x v="1"/>
    <n v="1.4533519553072626E-2"/>
  </r>
  <r>
    <n v="927"/>
    <x v="925"/>
    <x v="0"/>
    <x v="0"/>
    <s v="Just Chatting"/>
    <s v="Dead by Daylight"/>
    <n v="4.8"/>
    <n v="2110"/>
    <n v="4232"/>
    <n v="2.4"/>
    <n v="8179"/>
    <n v="476000"/>
    <n v="10200000"/>
    <n v="497"/>
    <n v="5.8"/>
    <s v="Thursday"/>
    <x v="6"/>
    <n v="3491.8694216896934"/>
    <x v="0"/>
    <n v="8.8907563025210079E-3"/>
  </r>
  <r>
    <n v="928"/>
    <x v="926"/>
    <x v="0"/>
    <x v="0"/>
    <s v="Call of Duty: Warzone"/>
    <s v="Just Chatting"/>
    <n v="7.1"/>
    <n v="2170"/>
    <n v="3374"/>
    <n v="1.3"/>
    <n v="921"/>
    <n v="293000"/>
    <n v="4550000"/>
    <n v="58"/>
    <n v="4.5"/>
    <s v="Tuesday"/>
    <x v="2"/>
    <n v="19087.947882736156"/>
    <x v="1"/>
    <n v="1.1515358361774744E-2"/>
  </r>
  <r>
    <n v="929"/>
    <x v="927"/>
    <x v="0"/>
    <x v="0"/>
    <s v="Grand Theft Auto V"/>
    <s v="Just Chatting"/>
    <n v="1.8"/>
    <n v="2230"/>
    <n v="1650"/>
    <n v="1"/>
    <n v="1391"/>
    <n v="144000"/>
    <n v="107000"/>
    <n v="7"/>
    <n v="2.7"/>
    <s v="Monday"/>
    <x v="1"/>
    <n v="6211.3587347232206"/>
    <x v="1"/>
    <n v="1.1458333333333333E-2"/>
  </r>
  <r>
    <n v="930"/>
    <x v="928"/>
    <x v="2"/>
    <x v="0"/>
    <s v="League of Legends"/>
    <s v="Dark and Darker"/>
    <n v="6"/>
    <n v="2150"/>
    <n v="3920"/>
    <n v="1.4"/>
    <n v="2769"/>
    <n v="119000"/>
    <n v="281000"/>
    <n v="48"/>
    <n v="1.2"/>
    <s v="Monday"/>
    <x v="2"/>
    <n v="2578.5482123510292"/>
    <x v="1"/>
    <n v="3.2941176470588238E-2"/>
  </r>
  <r>
    <n v="931"/>
    <x v="929"/>
    <x v="0"/>
    <x v="0"/>
    <s v="Just Chatting"/>
    <s v="Apex Legends"/>
    <n v="5.2"/>
    <n v="6930"/>
    <n v="3997"/>
    <n v="2.1"/>
    <n v="9854"/>
    <n v="1500000"/>
    <n v="88700000"/>
    <n v="198"/>
    <n v="4.9000000000000004"/>
    <s v="Friday"/>
    <x v="5"/>
    <n v="9133.3468642175776"/>
    <x v="0"/>
    <n v="2.6646666666666667E-3"/>
  </r>
  <r>
    <n v="932"/>
    <x v="930"/>
    <x v="0"/>
    <x v="0"/>
    <s v="Overwatch"/>
    <s v="Overwatch 2"/>
    <n v="8"/>
    <n v="1860"/>
    <n v="3426"/>
    <n v="1.2"/>
    <n v="18972"/>
    <n v="665000"/>
    <n v="12200000"/>
    <n v="70"/>
    <n v="6"/>
    <s v="Thursday"/>
    <x v="6"/>
    <n v="2103.0993042378241"/>
    <x v="1"/>
    <n v="5.1518796992481202E-3"/>
  </r>
  <r>
    <n v="933"/>
    <x v="931"/>
    <x v="2"/>
    <x v="0"/>
    <s v="Rocket League"/>
    <s v="Escape from Tarkov"/>
    <n v="3.6"/>
    <n v="3820"/>
    <n v="8784"/>
    <n v="1.2"/>
    <n v="7274"/>
    <n v="785000"/>
    <n v="18000000"/>
    <n v="102"/>
    <n v="5.0999999999999996"/>
    <s v="Tuesday"/>
    <x v="2"/>
    <n v="6475.1168545504534"/>
    <x v="1"/>
    <n v="1.1189808917197452E-2"/>
  </r>
  <r>
    <n v="934"/>
    <x v="932"/>
    <x v="5"/>
    <x v="0"/>
    <s v="Apex Legends"/>
    <s v="Grand Theft Auto V"/>
    <n v="6.8"/>
    <n v="290"/>
    <n v="1522"/>
    <n v="1.2"/>
    <n v="14578"/>
    <n v="70600"/>
    <n v="3750000"/>
    <n v="186"/>
    <n v="5.5"/>
    <s v="Saturday"/>
    <x v="0"/>
    <n v="290.57483879818903"/>
    <x v="1"/>
    <n v="2.1558073654390934E-2"/>
  </r>
  <r>
    <n v="935"/>
    <x v="933"/>
    <x v="4"/>
    <x v="0"/>
    <s v="Casino"/>
    <m/>
    <n v="10.3"/>
    <n v="8650"/>
    <n v="0"/>
    <n v="1"/>
    <n v="210"/>
    <n v="865"/>
    <n v="0"/>
    <n v="1"/>
    <n v="0.5"/>
    <s v="Monday"/>
    <x v="1"/>
    <n v="247.14285714285714"/>
    <x v="1"/>
    <n v="0"/>
  </r>
  <r>
    <n v="936"/>
    <x v="934"/>
    <x v="1"/>
    <x v="0"/>
    <s v="Sports"/>
    <s v="Fortnite"/>
    <n v="2.4"/>
    <n v="950"/>
    <n v="0"/>
    <n v="1"/>
    <n v="5230"/>
    <n v="20300"/>
    <n v="0"/>
    <n v="13"/>
    <n v="2.8"/>
    <s v="Wednesday"/>
    <x v="6"/>
    <n v="232.88718929254301"/>
    <x v="1"/>
    <n v="0"/>
  </r>
  <r>
    <n v="937"/>
    <x v="935"/>
    <x v="2"/>
    <x v="0"/>
    <s v="League of Legends"/>
    <s v="Watch Dogs 2"/>
    <n v="3.8"/>
    <n v="1320"/>
    <n v="2608"/>
    <n v="1"/>
    <n v="2331"/>
    <n v="97800"/>
    <n v="1940000"/>
    <n v="3"/>
    <n v="2.1"/>
    <s v="Monday"/>
    <x v="2"/>
    <n v="2517.3745173745174"/>
    <x v="1"/>
    <n v="2.6666666666666668E-2"/>
  </r>
  <r>
    <n v="938"/>
    <x v="936"/>
    <x v="7"/>
    <x v="0"/>
    <s v="Virtual Casino"/>
    <s v="Slots"/>
    <n v="13.3"/>
    <n v="1520"/>
    <n v="0"/>
    <n v="1"/>
    <n v="530"/>
    <n v="1400"/>
    <n v="0"/>
    <n v="2"/>
    <n v="0.8"/>
    <s v="Monday"/>
    <x v="2"/>
    <n v="158.49056603773585"/>
    <x v="1"/>
    <n v="0"/>
  </r>
  <r>
    <n v="939"/>
    <x v="937"/>
    <x v="0"/>
    <x v="0"/>
    <s v="VALORANT"/>
    <s v="Counter-Strike"/>
    <n v="3.5"/>
    <n v="2989"/>
    <n v="56393"/>
    <n v="1.1000000000000001"/>
    <n v="132"/>
    <n v="1540000"/>
    <n v="29800000"/>
    <n v="20"/>
    <n v="1"/>
    <s v="Friday"/>
    <x v="1"/>
    <n v="700000"/>
    <x v="1"/>
    <n v="3.6618831168831169E-2"/>
  </r>
  <r>
    <n v="940"/>
    <x v="938"/>
    <x v="3"/>
    <x v="0"/>
    <s v="Grand Theft Auto V"/>
    <s v="Just Chatting"/>
    <n v="5.2"/>
    <n v="2730"/>
    <n v="11689"/>
    <n v="2"/>
    <n v="11295"/>
    <n v="516000"/>
    <n v="24300000"/>
    <n v="199"/>
    <n v="4.8"/>
    <s v="Thursday"/>
    <x v="0"/>
    <n v="2741.0358565737051"/>
    <x v="1"/>
    <n v="2.2653100775193797E-2"/>
  </r>
  <r>
    <n v="941"/>
    <x v="939"/>
    <x v="0"/>
    <x v="0"/>
    <s v="Escape from Tarkov"/>
    <s v="PUBG: BATTLEGROUNDS"/>
    <n v="8.8000000000000007"/>
    <n v="930"/>
    <n v="9590"/>
    <n v="1.1000000000000001"/>
    <n v="1579"/>
    <n v="159000"/>
    <n v="1650000"/>
    <n v="57"/>
    <n v="5.0999999999999996"/>
    <s v="Wednesday"/>
    <x v="0"/>
    <n v="6041.7986067131096"/>
    <x v="1"/>
    <n v="6.0314465408805029E-2"/>
  </r>
  <r>
    <n v="942"/>
    <x v="940"/>
    <x v="7"/>
    <x v="0"/>
    <s v="Virtual Casino"/>
    <s v="Slots"/>
    <n v="13.3"/>
    <n v="1110"/>
    <n v="0"/>
    <n v="1.4"/>
    <n v="530"/>
    <n v="1300"/>
    <n v="0"/>
    <n v="3"/>
    <n v="0.8"/>
    <s v="Tuesday"/>
    <x v="4"/>
    <n v="147.16981132075472"/>
    <x v="1"/>
    <n v="0"/>
  </r>
  <r>
    <n v="943"/>
    <x v="941"/>
    <x v="0"/>
    <x v="0"/>
    <s v="Chess"/>
    <s v="Chess (5)"/>
    <n v="4.5999999999999996"/>
    <n v="4440"/>
    <n v="25988"/>
    <n v="1.4"/>
    <n v="4448"/>
    <n v="428000"/>
    <n v="25100000"/>
    <n v="65"/>
    <n v="4.2"/>
    <s v="Tuesday"/>
    <x v="1"/>
    <n v="5773.3812949640287"/>
    <x v="1"/>
    <n v="6.0719626168224301E-2"/>
  </r>
  <r>
    <n v="944"/>
    <x v="942"/>
    <x v="4"/>
    <x v="0"/>
    <s v="Just Chatting"/>
    <s v="World of Warcraft"/>
    <n v="5.8"/>
    <n v="1240"/>
    <n v="11664"/>
    <n v="1.3"/>
    <n v="12239"/>
    <n v="537000"/>
    <n v="48500000"/>
    <n v="109"/>
    <n v="5.4"/>
    <s v="Sunday"/>
    <x v="4"/>
    <n v="2632.5680202630938"/>
    <x v="1"/>
    <n v="2.1720670391061452E-2"/>
  </r>
  <r>
    <n v="945"/>
    <x v="943"/>
    <x v="0"/>
    <x v="0"/>
    <s v="Fortnite"/>
    <s v="Apex Legends"/>
    <n v="5.3"/>
    <n v="2360"/>
    <n v="0"/>
    <n v="1"/>
    <n v="2821"/>
    <n v="141000"/>
    <n v="65"/>
    <n v="6"/>
    <n v="5.8"/>
    <s v="Saturday"/>
    <x v="4"/>
    <n v="2998.9365473236439"/>
    <x v="1"/>
    <n v="0"/>
  </r>
  <r>
    <n v="946"/>
    <x v="944"/>
    <x v="4"/>
    <x v="0"/>
    <s v="Casino"/>
    <m/>
    <n v="2.9"/>
    <n v="2340"/>
    <n v="0"/>
    <n v="1"/>
    <n v="60"/>
    <n v="234"/>
    <n v="0"/>
    <n v="1"/>
    <n v="0.7"/>
    <s v="Monday"/>
    <x v="2"/>
    <n v="234"/>
    <x v="1"/>
    <n v="0"/>
  </r>
  <r>
    <n v="947"/>
    <x v="945"/>
    <x v="7"/>
    <x v="0"/>
    <s v="League of Legends"/>
    <s v="World of Warcraft"/>
    <n v="6.8"/>
    <n v="3940"/>
    <n v="20708"/>
    <n v="1.3"/>
    <n v="115"/>
    <n v="930000"/>
    <n v="60600000"/>
    <n v="74"/>
    <n v="4.3"/>
    <s v="Tuesday"/>
    <x v="6"/>
    <n v="485217.39130434778"/>
    <x v="1"/>
    <n v="2.2266666666666667E-2"/>
  </r>
  <r>
    <n v="948"/>
    <x v="946"/>
    <x v="15"/>
    <x v="0"/>
    <s v="League of Legends"/>
    <s v="Just Chatting"/>
    <n v="4.9000000000000004"/>
    <n v="1020"/>
    <n v="9682"/>
    <n v="1.4"/>
    <n v="9369"/>
    <n v="199000"/>
    <n v="18900000"/>
    <n v="79"/>
    <n v="5.4"/>
    <s v="Tuesday"/>
    <x v="0"/>
    <n v="1274.4156260006403"/>
    <x v="1"/>
    <n v="4.8653266331658292E-2"/>
  </r>
  <r>
    <n v="949"/>
    <x v="947"/>
    <x v="0"/>
    <x v="0"/>
    <s v="PUBG: BATTLEGROUNDS"/>
    <s v="Escape from Tarkov"/>
    <n v="5.0999999999999996"/>
    <n v="5220"/>
    <n v="13098"/>
    <n v="2"/>
    <n v="8304"/>
    <n v="755000"/>
    <n v="18100000"/>
    <n v="211"/>
    <n v="4.0999999999999996"/>
    <s v="Tuesday"/>
    <x v="3"/>
    <n v="5455.2023121387283"/>
    <x v="1"/>
    <n v="1.7348344370860927E-2"/>
  </r>
  <r>
    <n v="950"/>
    <x v="948"/>
    <x v="7"/>
    <x v="0"/>
    <s v="Virtual Casino"/>
    <s v="Slots"/>
    <n v="9.6"/>
    <n v="160"/>
    <n v="0"/>
    <n v="1.5"/>
    <n v="290"/>
    <n v="1300"/>
    <n v="0"/>
    <n v="2"/>
    <n v="0.7"/>
    <s v="Monday"/>
    <x v="2"/>
    <n v="268.9655172413793"/>
    <x v="1"/>
    <n v="0"/>
  </r>
  <r>
    <n v="951"/>
    <x v="949"/>
    <x v="0"/>
    <x v="0"/>
    <s v="World of Warcraft"/>
    <s v="Variety"/>
    <n v="7.5"/>
    <n v="1700"/>
    <n v="15877"/>
    <n v="1.1000000000000001"/>
    <n v="15227"/>
    <n v="325000"/>
    <n v="30200000"/>
    <n v="17"/>
    <n v="5.2"/>
    <s v="Saturday"/>
    <x v="6"/>
    <n v="1280.6199514021146"/>
    <x v="1"/>
    <n v="4.8852307692307695E-2"/>
  </r>
  <r>
    <n v="952"/>
    <x v="950"/>
    <x v="0"/>
    <x v="0"/>
    <s v="Tom Clancy's Rainbow Six Siege"/>
    <s v="XDefiant"/>
    <n v="7.2"/>
    <n v="1335"/>
    <n v="0"/>
    <n v="1.2"/>
    <n v="4970"/>
    <n v="102000"/>
    <n v="0"/>
    <n v="13"/>
    <n v="7"/>
    <s v="Tuesday"/>
    <x v="1"/>
    <n v="1231.3883299798792"/>
    <x v="1"/>
    <n v="0"/>
  </r>
  <r>
    <n v="953"/>
    <x v="951"/>
    <x v="4"/>
    <x v="0"/>
    <s v="VALORANT"/>
    <s v="Just Chatting"/>
    <n v="7.4"/>
    <n v="1300"/>
    <n v="0"/>
    <n v="1.1000000000000001"/>
    <n v="4062"/>
    <n v="74600"/>
    <n v="305"/>
    <n v="15"/>
    <n v="2.9"/>
    <s v="Saturday"/>
    <x v="1"/>
    <n v="1101.9202363367799"/>
    <x v="1"/>
    <n v="0"/>
  </r>
  <r>
    <n v="954"/>
    <x v="952"/>
    <x v="1"/>
    <x v="0"/>
    <s v="Dead by Daylight"/>
    <s v="Escape from Tarkov"/>
    <n v="5.0999999999999996"/>
    <n v="5570"/>
    <n v="15422"/>
    <n v="1.3"/>
    <n v="10873"/>
    <n v="1210000"/>
    <n v="33200000"/>
    <n v="387"/>
    <n v="5.5"/>
    <s v="Friday"/>
    <x v="1"/>
    <n v="6677.0900395475028"/>
    <x v="1"/>
    <n v="1.2745454545454546E-2"/>
  </r>
  <r>
    <n v="955"/>
    <x v="953"/>
    <x v="0"/>
    <x v="0"/>
    <s v="Destiny 2"/>
    <s v="Destiny"/>
    <n v="6.3"/>
    <n v="2570"/>
    <n v="5538"/>
    <n v="1.4"/>
    <n v="11742"/>
    <n v="437000"/>
    <n v="9410000"/>
    <n v="99"/>
    <n v="5.2"/>
    <s v="Tuesday"/>
    <x v="4"/>
    <n v="2233.009708737864"/>
    <x v="1"/>
    <n v="1.2672768878718535E-2"/>
  </r>
  <r>
    <n v="956"/>
    <x v="954"/>
    <x v="7"/>
    <x v="0"/>
    <s v="League of Legends"/>
    <s v="Just Chatting"/>
    <n v="4.5"/>
    <n v="6490"/>
    <n v="13045"/>
    <n v="1.2"/>
    <n v="3688"/>
    <n v="578000"/>
    <n v="12400000"/>
    <n v="35"/>
    <n v="2.1"/>
    <s v="Thursday"/>
    <x v="4"/>
    <n v="9403.4707158351412"/>
    <x v="1"/>
    <n v="2.2569204152249136E-2"/>
  </r>
  <r>
    <n v="957"/>
    <x v="955"/>
    <x v="5"/>
    <x v="0"/>
    <s v="Grand Theft Auto V"/>
    <s v="VALORANT"/>
    <n v="5.9"/>
    <n v="630"/>
    <n v="40"/>
    <n v="1.1000000000000001"/>
    <n v="2782"/>
    <n v="34000"/>
    <n v="2400"/>
    <n v="53"/>
    <n v="2.9"/>
    <s v="Sunday"/>
    <x v="1"/>
    <n v="733.2854061826024"/>
    <x v="1"/>
    <n v="1.176470588235294E-3"/>
  </r>
  <r>
    <n v="958"/>
    <x v="956"/>
    <x v="0"/>
    <x v="0"/>
    <s v="Fortnite"/>
    <s v="Counter-Strike"/>
    <n v="7.3"/>
    <n v="6440"/>
    <n v="27302"/>
    <n v="1.2"/>
    <n v="16466"/>
    <n v="1630000"/>
    <n v="69000000"/>
    <n v="94"/>
    <n v="6.3"/>
    <s v="Friday"/>
    <x v="1"/>
    <n v="5939.5117211223123"/>
    <x v="1"/>
    <n v="1.6749693251533741E-2"/>
  </r>
  <r>
    <n v="959"/>
    <x v="957"/>
    <x v="3"/>
    <x v="0"/>
    <s v="IRL"/>
    <s v="Just Chatting"/>
    <n v="7.4"/>
    <n v="770"/>
    <n v="6400"/>
    <n v="1.2"/>
    <n v="2601"/>
    <n v="25500"/>
    <n v="211000"/>
    <n v="15"/>
    <n v="2.1"/>
    <s v="Saturday"/>
    <x v="2"/>
    <n v="588.23529411764707"/>
    <x v="1"/>
    <n v="0.25098039215686274"/>
  </r>
  <r>
    <n v="960"/>
    <x v="958"/>
    <x v="1"/>
    <x v="0"/>
    <s v="Grand Theft Auto V"/>
    <s v="Minecraft"/>
    <n v="5.9"/>
    <n v="5230"/>
    <n v="24938"/>
    <n v="1.6"/>
    <n v="8974"/>
    <n v="897000"/>
    <n v="40600000"/>
    <n v="134"/>
    <n v="3.9"/>
    <s v="Wednesday"/>
    <x v="4"/>
    <n v="5997.3256073100065"/>
    <x v="1"/>
    <n v="2.7801560758082496E-2"/>
  </r>
  <r>
    <n v="961"/>
    <x v="959"/>
    <x v="3"/>
    <x v="0"/>
    <s v="RimWorld"/>
    <s v="Project Zomboid"/>
    <n v="5.4"/>
    <n v="180"/>
    <n v="1671"/>
    <n v="1.5"/>
    <n v="9763"/>
    <n v="33300"/>
    <n v="3020000"/>
    <n v="221"/>
    <n v="4.5999999999999996"/>
    <s v="Sunday"/>
    <x v="1"/>
    <n v="204.65020997644166"/>
    <x v="1"/>
    <n v="5.0180180180180181E-2"/>
  </r>
  <r>
    <n v="962"/>
    <x v="960"/>
    <x v="5"/>
    <x v="0"/>
    <s v="Street Fighter 6"/>
    <s v="VALORANT"/>
    <n v="6.2"/>
    <n v="1810"/>
    <n v="7930"/>
    <n v="1.4"/>
    <n v="3664"/>
    <n v="123000"/>
    <n v="539000"/>
    <n v="62"/>
    <n v="2.7"/>
    <s v="Friday"/>
    <x v="1"/>
    <n v="2014.1921397379911"/>
    <x v="1"/>
    <n v="6.4471544715447152E-2"/>
  </r>
  <r>
    <n v="963"/>
    <x v="961"/>
    <x v="0"/>
    <x v="0"/>
    <s v="Halo Infinite"/>
    <s v="Halo 5: Guardians"/>
    <n v="6.1"/>
    <n v="2060"/>
    <n v="3400"/>
    <n v="1"/>
    <n v="2911"/>
    <n v="71000"/>
    <n v="117000"/>
    <n v="11"/>
    <n v="1.6"/>
    <s v="Sunday"/>
    <x v="0"/>
    <n v="1463.4146341463415"/>
    <x v="1"/>
    <n v="4.788732394366197E-2"/>
  </r>
  <r>
    <n v="964"/>
    <x v="962"/>
    <x v="8"/>
    <x v="0"/>
    <s v="Minecraft"/>
    <s v="Brawl Stars"/>
    <n v="4.8"/>
    <n v="7140"/>
    <n v="0"/>
    <n v="1.5"/>
    <n v="2436"/>
    <n v="566000"/>
    <n v="30"/>
    <n v="46"/>
    <n v="2.8"/>
    <s v="Wednesday"/>
    <x v="2"/>
    <n v="13940.886699507389"/>
    <x v="1"/>
    <n v="0"/>
  </r>
  <r>
    <n v="965"/>
    <x v="963"/>
    <x v="0"/>
    <x v="0"/>
    <s v="Fortnite"/>
    <s v="Call of Duty: WWII"/>
    <n v="7.1"/>
    <n v="2290"/>
    <n v="279"/>
    <n v="1.1000000000000001"/>
    <n v="16818"/>
    <n v="575000"/>
    <n v="6990000"/>
    <n v="55"/>
    <n v="6.1"/>
    <s v="Thursday"/>
    <x v="0"/>
    <n v="2051.3735283624687"/>
    <x v="1"/>
    <n v="4.8521739130434784E-4"/>
  </r>
  <r>
    <n v="966"/>
    <x v="964"/>
    <x v="2"/>
    <x v="0"/>
    <s v="Grand Theft Auto V"/>
    <s v="ARK: Survival Evolved"/>
    <n v="5.2"/>
    <n v="880"/>
    <n v="9077"/>
    <n v="1.1000000000000001"/>
    <n v="7035"/>
    <n v="177000"/>
    <n v="15900000"/>
    <n v="169"/>
    <n v="3.4"/>
    <s v="Wednesday"/>
    <x v="0"/>
    <n v="1509.5948827292111"/>
    <x v="1"/>
    <n v="5.1282485875706212E-2"/>
  </r>
  <r>
    <n v="967"/>
    <x v="965"/>
    <x v="1"/>
    <x v="0"/>
    <s v="Just Chatting"/>
    <s v="League of Legends"/>
    <n v="3.8"/>
    <n v="1520"/>
    <n v="2532"/>
    <n v="1.1000000000000001"/>
    <n v="3995"/>
    <n v="176000"/>
    <n v="2930000"/>
    <n v="55"/>
    <n v="3.5"/>
    <s v="Thursday"/>
    <x v="0"/>
    <n v="2643.3041301627036"/>
    <x v="1"/>
    <n v="1.4386363636363636E-2"/>
  </r>
  <r>
    <n v="968"/>
    <x v="966"/>
    <x v="6"/>
    <x v="0"/>
    <s v="Just Chatting"/>
    <s v="PUBG: BATTLEGROUNDS"/>
    <n v="9.1999999999999993"/>
    <n v="480"/>
    <n v="19638"/>
    <n v="1.6"/>
    <n v="22013"/>
    <n v="122000"/>
    <n v="49200000"/>
    <n v="327"/>
    <n v="6.1"/>
    <s v="Tuesday"/>
    <x v="1"/>
    <n v="332.53077726797801"/>
    <x v="1"/>
    <n v="0.16096721311475409"/>
  </r>
  <r>
    <n v="969"/>
    <x v="967"/>
    <x v="0"/>
    <x v="0"/>
    <s v="Just Chatting"/>
    <s v="Teamfight Tactics"/>
    <n v="7.1"/>
    <n v="5600"/>
    <n v="14827"/>
    <n v="1.6"/>
    <n v="8943"/>
    <n v="654000"/>
    <n v="17200000"/>
    <n v="208"/>
    <n v="3.2"/>
    <s v="Wednesday"/>
    <x v="3"/>
    <n v="4387.7893324387787"/>
    <x v="1"/>
    <n v="2.267125382262997E-2"/>
  </r>
  <r>
    <n v="970"/>
    <x v="968"/>
    <x v="0"/>
    <x v="0"/>
    <s v="Slots"/>
    <s v="Just Chatting"/>
    <n v="9"/>
    <n v="260"/>
    <n v="2470"/>
    <n v="1"/>
    <n v="12176"/>
    <n v="59800"/>
    <n v="558000"/>
    <n v="8"/>
    <n v="6.3"/>
    <s v="Friday"/>
    <x v="2"/>
    <n v="294.67805519053877"/>
    <x v="1"/>
    <n v="4.1304347826086954E-2"/>
  </r>
  <r>
    <n v="971"/>
    <x v="969"/>
    <x v="0"/>
    <x v="0"/>
    <s v="Just Chatting"/>
    <s v="ASMR"/>
    <n v="3.1"/>
    <n v="3260"/>
    <n v="3406"/>
    <n v="1.8"/>
    <n v="3225"/>
    <n v="313000"/>
    <n v="3270000"/>
    <n v="290"/>
    <n v="3.3"/>
    <s v="Monday"/>
    <x v="0"/>
    <n v="5823.2558139534885"/>
    <x v="1"/>
    <n v="1.0881789137380192E-2"/>
  </r>
  <r>
    <n v="972"/>
    <x v="970"/>
    <x v="5"/>
    <x v="0"/>
    <s v="Just Chatting"/>
    <s v="IRL"/>
    <n v="4"/>
    <n v="1886"/>
    <n v="0"/>
    <n v="1.3"/>
    <n v="1900"/>
    <n v="92500"/>
    <n v="0"/>
    <n v="15"/>
    <n v="5.4"/>
    <s v="Sunday"/>
    <x v="4"/>
    <n v="2921.0526315789471"/>
    <x v="1"/>
    <n v="0"/>
  </r>
  <r>
    <n v="973"/>
    <x v="971"/>
    <x v="2"/>
    <x v="0"/>
    <s v="League of Legends"/>
    <s v="Legends of Runeterra"/>
    <n v="3.5"/>
    <n v="1310"/>
    <n v="2227"/>
    <n v="1"/>
    <n v="5863"/>
    <n v="191000"/>
    <n v="3240000"/>
    <n v="24"/>
    <n v="4.3"/>
    <s v="Monday"/>
    <x v="0"/>
    <n v="1954.6307351185399"/>
    <x v="1"/>
    <n v="1.1659685863874345E-2"/>
  </r>
  <r>
    <n v="974"/>
    <x v="972"/>
    <x v="6"/>
    <x v="0"/>
    <s v="Teamfight Tactics"/>
    <s v="League of Legends"/>
    <n v="6.9"/>
    <n v="2730"/>
    <n v="14986"/>
    <n v="1.4"/>
    <n v="7345"/>
    <n v="290000"/>
    <n v="15700000"/>
    <n v="50"/>
    <n v="3"/>
    <s v="Wednesday"/>
    <x v="2"/>
    <n v="2368.9584751531652"/>
    <x v="1"/>
    <n v="5.1675862068965517E-2"/>
  </r>
  <r>
    <n v="975"/>
    <x v="973"/>
    <x v="4"/>
    <x v="0"/>
    <s v="Casino"/>
    <m/>
    <n v="3.1"/>
    <n v="20"/>
    <n v="0"/>
    <n v="1"/>
    <n v="60"/>
    <n v="3"/>
    <n v="0"/>
    <n v="1"/>
    <n v="0.7"/>
    <s v="Tuesday"/>
    <x v="4"/>
    <n v="3"/>
    <x v="1"/>
    <n v="0"/>
  </r>
  <r>
    <n v="976"/>
    <x v="974"/>
    <x v="2"/>
    <x v="0"/>
    <s v="Just Chatting"/>
    <s v="SnowRunner"/>
    <n v="3"/>
    <n v="3725"/>
    <n v="0"/>
    <n v="1.3"/>
    <n v="660"/>
    <n v="169000"/>
    <n v="0"/>
    <n v="12"/>
    <n v="0.9"/>
    <s v="Sunday"/>
    <x v="1"/>
    <n v="15363.636363636364"/>
    <x v="1"/>
    <n v="0"/>
  </r>
  <r>
    <n v="977"/>
    <x v="975"/>
    <x v="0"/>
    <x v="0"/>
    <s v="Rocket League"/>
    <s v="Slots"/>
    <n v="3.6"/>
    <n v="1170"/>
    <n v="6490"/>
    <n v="1"/>
    <n v="7394"/>
    <n v="250000"/>
    <n v="1390000"/>
    <n v="25"/>
    <n v="5.6"/>
    <s v="Wednesday"/>
    <x v="0"/>
    <n v="2028.6718961319989"/>
    <x v="1"/>
    <n v="2.596E-2"/>
  </r>
  <r>
    <n v="978"/>
    <x v="976"/>
    <x v="0"/>
    <x v="0"/>
    <s v="Hearthstone"/>
    <s v="Poker"/>
    <n v="5.2"/>
    <n v="470"/>
    <n v="1040"/>
    <n v="1"/>
    <n v="4007"/>
    <n v="47000"/>
    <n v="105000"/>
    <n v="16"/>
    <n v="4.5"/>
    <s v="Wednesday"/>
    <x v="4"/>
    <n v="703.76840529074127"/>
    <x v="1"/>
    <n v="2.2127659574468085E-2"/>
  </r>
  <r>
    <n v="979"/>
    <x v="977"/>
    <x v="0"/>
    <x v="0"/>
    <s v="Minecraft"/>
    <s v="RimWorld"/>
    <n v="6.5"/>
    <n v="1780"/>
    <n v="9415"/>
    <n v="1.3"/>
    <n v="1126"/>
    <n v="546000"/>
    <n v="21800000"/>
    <n v="342"/>
    <n v="4.4000000000000004"/>
    <s v="Wednesday"/>
    <x v="2"/>
    <n v="29094.138543516874"/>
    <x v="1"/>
    <n v="1.7243589743589742E-2"/>
  </r>
  <r>
    <n v="980"/>
    <x v="978"/>
    <x v="6"/>
    <x v="0"/>
    <s v="Just Chatting"/>
    <s v="Albion Online"/>
    <n v="5.9"/>
    <n v="3820"/>
    <n v="0"/>
    <n v="1.3"/>
    <n v="1735"/>
    <n v="117000"/>
    <n v="0"/>
    <n v="31"/>
    <n v="3.7"/>
    <s v="Wednesday"/>
    <x v="1"/>
    <n v="4046.109510086455"/>
    <x v="1"/>
    <n v="0"/>
  </r>
  <r>
    <n v="981"/>
    <x v="979"/>
    <x v="1"/>
    <x v="0"/>
    <s v="Rocket League"/>
    <s v="Variety"/>
    <n v="4"/>
    <n v="3620"/>
    <n v="6812"/>
    <n v="1"/>
    <n v="2603"/>
    <n v="195000"/>
    <n v="3670000"/>
    <n v="3"/>
    <n v="1.6"/>
    <s v="Sunday"/>
    <x v="1"/>
    <n v="4494.8136765270838"/>
    <x v="1"/>
    <n v="3.493333333333333E-2"/>
  </r>
  <r>
    <n v="982"/>
    <x v="980"/>
    <x v="7"/>
    <x v="0"/>
    <s v="Just Chatting"/>
    <s v="Grand Theft Auto V"/>
    <n v="4.2"/>
    <n v="8310"/>
    <n v="4394"/>
    <n v="1.6"/>
    <n v="4862"/>
    <n v="777000"/>
    <n v="4110000"/>
    <n v="80"/>
    <n v="4.7"/>
    <s v="Wednesday"/>
    <x v="4"/>
    <n v="9588.6466474701774"/>
    <x v="1"/>
    <n v="5.6550836550836548E-3"/>
  </r>
  <r>
    <n v="983"/>
    <x v="981"/>
    <x v="2"/>
    <x v="0"/>
    <s v="Grand Theft Auto V"/>
    <s v="Fortnite"/>
    <n v="3.5"/>
    <n v="2250"/>
    <n v="1600"/>
    <n v="1.4"/>
    <n v="1591"/>
    <n v="106000"/>
    <n v="75000"/>
    <n v="42"/>
    <n v="2"/>
    <s v="Sunday"/>
    <x v="1"/>
    <n v="3997.4858579509742"/>
    <x v="1"/>
    <n v="1.509433962264151E-2"/>
  </r>
  <r>
    <n v="984"/>
    <x v="982"/>
    <x v="0"/>
    <x v="0"/>
    <s v="World of Tanks"/>
    <s v="I'm Only Sleeping"/>
    <n v="8.5"/>
    <n v="960"/>
    <n v="6832"/>
    <n v="1.1000000000000001"/>
    <n v="20786"/>
    <n v="239000"/>
    <n v="17000000"/>
    <n v="58"/>
    <n v="6.2"/>
    <s v="Tuesday"/>
    <x v="1"/>
    <n v="689.88742422784571"/>
    <x v="1"/>
    <n v="2.8585774058577405E-2"/>
  </r>
  <r>
    <n v="985"/>
    <x v="983"/>
    <x v="0"/>
    <x v="0"/>
    <s v="Just Chatting"/>
    <s v="Politics"/>
    <n v="5.0999999999999996"/>
    <n v="540"/>
    <n v="1698"/>
    <n v="1"/>
    <n v="6787"/>
    <n v="71200"/>
    <n v="2240000"/>
    <n v="12"/>
    <n v="4.2"/>
    <s v="Wednesday"/>
    <x v="1"/>
    <n v="629.43863268012376"/>
    <x v="1"/>
    <n v="2.3848314606741573E-2"/>
  </r>
  <r>
    <n v="986"/>
    <x v="984"/>
    <x v="0"/>
    <x v="0"/>
    <s v="Fortnite"/>
    <s v="Call of Duty: Warzone"/>
    <n v="6"/>
    <n v="3633"/>
    <n v="54313"/>
    <n v="1.2"/>
    <n v="8654"/>
    <n v="5350000"/>
    <n v="79900000"/>
    <n v="85"/>
    <n v="4"/>
    <s v="Tuesday"/>
    <x v="1"/>
    <n v="37092.673908019417"/>
    <x v="1"/>
    <n v="1.015196261682243E-2"/>
  </r>
  <r>
    <n v="987"/>
    <x v="985"/>
    <x v="0"/>
    <x v="1"/>
    <s v="Counter-Strike"/>
    <s v="Variety"/>
    <n v="5.6"/>
    <n v="1026"/>
    <n v="3238"/>
    <n v="1"/>
    <n v="1435"/>
    <n v="297000"/>
    <n v="9380000"/>
    <n v="2"/>
    <n v="0.8"/>
    <s v="Wednesday"/>
    <x v="1"/>
    <n v="12418.118466898954"/>
    <x v="1"/>
    <n v="1.0902356902356903E-2"/>
  </r>
  <r>
    <n v="988"/>
    <x v="986"/>
    <x v="0"/>
    <x v="0"/>
    <s v="Call of Duty: Warzone"/>
    <s v="PUBG: BATTLEGROUNDS"/>
    <n v="2.7"/>
    <n v="3045"/>
    <n v="6844"/>
    <n v="1.1000000000000001"/>
    <n v="1135"/>
    <n v="1310000"/>
    <n v="3020000"/>
    <n v="114"/>
    <n v="1.1000000000000001"/>
    <s v="Sunday"/>
    <x v="5"/>
    <n v="69251.101321585898"/>
    <x v="1"/>
    <n v="5.2244274809160303E-3"/>
  </r>
  <r>
    <n v="989"/>
    <x v="987"/>
    <x v="2"/>
    <x v="0"/>
    <s v="Rocket League"/>
    <s v="Penumbra: Black Plague"/>
    <n v="4.5"/>
    <n v="8510"/>
    <n v="14497"/>
    <n v="1.5"/>
    <n v="3818"/>
    <n v="777000"/>
    <n v="12900000"/>
    <n v="337"/>
    <n v="2.2000000000000002"/>
    <s v="Monday"/>
    <x v="0"/>
    <n v="12210.581456259823"/>
    <x v="1"/>
    <n v="1.8657657657657659E-2"/>
  </r>
  <r>
    <n v="990"/>
    <x v="988"/>
    <x v="4"/>
    <x v="0"/>
    <s v="Just Chatting"/>
    <s v="DARK SOULS III"/>
    <n v="7.2"/>
    <n v="1090"/>
    <n v="13845"/>
    <n v="1.9"/>
    <n v="14056"/>
    <n v="216000"/>
    <n v="27300000"/>
    <n v="311"/>
    <n v="4.9000000000000004"/>
    <s v="Tuesday"/>
    <x v="1"/>
    <n v="922.02618099032441"/>
    <x v="1"/>
    <n v="6.4097222222222222E-2"/>
  </r>
  <r>
    <n v="991"/>
    <x v="989"/>
    <x v="0"/>
    <x v="0"/>
    <s v="Minecraft"/>
    <s v="Just Chatting"/>
    <n v="2.7"/>
    <n v="6535"/>
    <n v="98411"/>
    <n v="1.2"/>
    <n v="1927"/>
    <n v="4440000"/>
    <n v="66900000"/>
    <n v="214"/>
    <n v="3.7"/>
    <s v="Saturday"/>
    <x v="0"/>
    <n v="138245.97820446288"/>
    <x v="1"/>
    <n v="2.216463963963964E-2"/>
  </r>
  <r>
    <n v="992"/>
    <x v="990"/>
    <x v="3"/>
    <x v="0"/>
    <s v="Grand Theft Auto V"/>
    <s v="Just Chatting"/>
    <n v="3.8"/>
    <n v="9250"/>
    <n v="1366"/>
    <n v="1.6"/>
    <n v="7270"/>
    <n v="172000"/>
    <n v="253000"/>
    <n v="44"/>
    <n v="0.7"/>
    <s v="Tuesday"/>
    <x v="6"/>
    <n v="1419.5323246217331"/>
    <x v="1"/>
    <n v="7.9418604651162791E-3"/>
  </r>
  <r>
    <n v="993"/>
    <x v="991"/>
    <x v="3"/>
    <x v="0"/>
    <s v="Just Chatting"/>
    <s v="Crusader Kings III"/>
    <n v="6.2"/>
    <n v="2600"/>
    <n v="2647"/>
    <n v="2.1"/>
    <n v="303"/>
    <n v="127000"/>
    <n v="1290000"/>
    <n v="226"/>
    <n v="1.5"/>
    <s v="Friday"/>
    <x v="1"/>
    <n v="25148.51485148515"/>
    <x v="0"/>
    <n v="2.0842519685039369E-2"/>
  </r>
  <r>
    <n v="994"/>
    <x v="992"/>
    <x v="0"/>
    <x v="0"/>
    <s v="The Sims 4"/>
    <s v="Raft"/>
    <n v="2.7"/>
    <n v="2852"/>
    <n v="40"/>
    <n v="1.1000000000000001"/>
    <n v="750"/>
    <n v="65600"/>
    <n v="191"/>
    <n v="8"/>
    <n v="0.2"/>
    <s v="Saturday"/>
    <x v="4"/>
    <n v="5248"/>
    <x v="1"/>
    <n v="6.0975609756097561E-4"/>
  </r>
  <r>
    <n v="995"/>
    <x v="993"/>
    <x v="5"/>
    <x v="0"/>
    <s v="VALORANT"/>
    <s v="Just Chatting"/>
    <n v="5.0999999999999996"/>
    <n v="6290"/>
    <n v="2492"/>
    <n v="1.4"/>
    <n v="3001"/>
    <n v="396000"/>
    <n v="1570000"/>
    <n v="142"/>
    <n v="1.9"/>
    <s v="Saturday"/>
    <x v="1"/>
    <n v="7917.3608797067645"/>
    <x v="1"/>
    <n v="6.2929292929292929E-3"/>
  </r>
  <r>
    <n v="996"/>
    <x v="994"/>
    <x v="0"/>
    <x v="0"/>
    <s v="Counter-Strike"/>
    <s v="Just Chatting"/>
    <n v="4"/>
    <n v="2480"/>
    <n v="1423"/>
    <n v="1.3"/>
    <n v="1873"/>
    <n v="133000"/>
    <n v="766000"/>
    <n v="31"/>
    <n v="1.8"/>
    <s v="Monday"/>
    <x v="0"/>
    <n v="4260.5445808862787"/>
    <x v="1"/>
    <n v="1.0699248120300752E-2"/>
  </r>
  <r>
    <n v="997"/>
    <x v="995"/>
    <x v="7"/>
    <x v="0"/>
    <s v="Virtual Casino"/>
    <m/>
    <n v="10.4"/>
    <n v="8740"/>
    <n v="0"/>
    <n v="1"/>
    <n v="210"/>
    <n v="1300"/>
    <n v="0"/>
    <n v="1"/>
    <n v="0.8"/>
    <s v="Friday"/>
    <x v="3"/>
    <n v="371.42857142857144"/>
    <x v="1"/>
    <n v="0"/>
  </r>
  <r>
    <n v="998"/>
    <x v="996"/>
    <x v="7"/>
    <x v="0"/>
    <s v="Virtual Casino"/>
    <s v="Slots"/>
    <n v="9.6"/>
    <n v="2160"/>
    <n v="0"/>
    <n v="1"/>
    <n v="190"/>
    <n v="1300"/>
    <n v="0"/>
    <n v="2"/>
    <n v="0.4"/>
    <s v="Thursday"/>
    <x v="5"/>
    <n v="410.5263157894737"/>
    <x v="1"/>
    <n v="0"/>
  </r>
  <r>
    <n v="999"/>
    <x v="997"/>
    <x v="0"/>
    <x v="0"/>
    <s v="Apex Legends"/>
    <s v="Z1: Battle Royale"/>
    <n v="5.0999999999999996"/>
    <n v="6050"/>
    <n v="1619"/>
    <n v="1.1000000000000001"/>
    <n v="6827"/>
    <n v="837000"/>
    <n v="22400000"/>
    <n v="24"/>
    <n v="3.6"/>
    <s v="Tuesday"/>
    <x v="2"/>
    <n v="7356.0861286070021"/>
    <x v="1"/>
    <n v="1.9342891278375149E-3"/>
  </r>
  <r>
    <n v="1000"/>
    <x v="998"/>
    <x v="0"/>
    <x v="0"/>
    <s v="Minecraft"/>
    <s v="Just Chatting"/>
    <n v="7.9"/>
    <n v="970"/>
    <n v="21465"/>
    <n v="2.7"/>
    <n v="19426"/>
    <n v="856000"/>
    <n v="74500000"/>
    <n v="782"/>
    <n v="6.3"/>
    <s v="Tuesday"/>
    <x v="1"/>
    <n v="2643.8793369710697"/>
    <x v="0"/>
    <n v="2.5075934579439251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D0ACE-B73C-4770-B1A4-F7481A384D3C}" name="PivotTable1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:B10" firstHeaderRow="1" firstDataRow="1" firstDataCol="1"/>
  <pivotFields count="20">
    <pivotField compact="0" outline="0" showAll="0"/>
    <pivotField dataField="1" compact="0" outline="0" showAll="0"/>
    <pivotField axis="axisRow" compact="0" outline="0" showAll="0">
      <items count="20">
        <item x="18"/>
        <item x="16"/>
        <item x="6"/>
        <item x="15"/>
        <item x="0"/>
        <item x="2"/>
        <item x="3"/>
        <item x="14"/>
        <item x="8"/>
        <item x="5"/>
        <item x="12"/>
        <item x="9"/>
        <item x="7"/>
        <item x="17"/>
        <item x="4"/>
        <item x="1"/>
        <item x="13"/>
        <item x="10"/>
        <item x="11"/>
        <item t="default"/>
      </items>
    </pivotField>
    <pivotField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</pivotFields>
  <rowFields count="1">
    <field x="2"/>
  </rowFields>
  <rowItems count="7">
    <i>
      <x v="2"/>
    </i>
    <i>
      <x v="4"/>
    </i>
    <i>
      <x v="5"/>
    </i>
    <i>
      <x v="9"/>
    </i>
    <i>
      <x v="12"/>
    </i>
    <i>
      <x v="15"/>
    </i>
    <i t="grand">
      <x/>
    </i>
  </rowItems>
  <colItems count="1">
    <i/>
  </colItems>
  <dataFields count="1">
    <dataField name="Count of name" fld="1" subtotal="count" baseField="0" baseItem="0"/>
  </dataField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34292-9475-45D1-81E3-BED75DC55D3A}" name="PivotTable2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6" firstHeaderRow="1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Average of avg_viewers_per_stream" fld="8" subtotal="average" baseField="0" baseItem="0"/>
  </dataFields>
  <formats count="2">
    <format dxfId="6">
      <pivotArea outline="0" fieldPosition="0">
        <references count="1">
          <reference field="18" count="0" selected="0"/>
        </references>
      </pivotArea>
    </format>
    <format dxfId="7">
      <pivotArea grandRow="1" outline="0" collapsedLevelsAreSubtotals="1" fieldPosition="0"/>
    </format>
  </format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7739F-B3F6-41A5-B567-4B3526F92FE8}" name="PivotTable3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1" firstHeaderRow="1" firstDataRow="1" firstDataCol="1"/>
  <pivotFields count="20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8">
        <item x="1"/>
        <item x="2"/>
        <item x="4"/>
        <item x="6"/>
        <item x="5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6" outline="0" showAll="0"/>
    <pivotField compact="0" outline="0" showAll="0"/>
    <pivotField compact="0" outline="0" showAll="0"/>
  </pivotFields>
  <rowFields count="1">
    <field x="16"/>
  </rowFields>
  <rowItems count="8">
    <i>
      <x/>
    </i>
    <i>
      <x v="6"/>
    </i>
    <i>
      <x v="1"/>
    </i>
    <i>
      <x v="2"/>
    </i>
    <i>
      <x v="5"/>
    </i>
    <i>
      <x v="3"/>
    </i>
    <i>
      <x v="4"/>
    </i>
    <i t="grand">
      <x/>
    </i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ype" xr10:uid="{048E5E55-8B39-47D1-B648-51A4FA7DBD7B}" sourceName="type">
  <pivotTables>
    <pivotTable tabId="2" name="PivotTable1"/>
  </pivotTables>
  <data>
    <tabular pivotCacheId="2141041812">
      <items count="2">
        <i x="1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ype" xr10:uid="{1605010C-43A8-42F6-BAAB-2DC915D2517B}" cache="Slicer_type" caption="typ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2DA904-395F-432B-A20C-4899B9E5A113}" name="Table4" displayName="Table4" ref="A1:T1000" totalsRowShown="0">
  <autoFilter ref="A1:T1000" xr:uid="{612DA904-395F-432B-A20C-4899B9E5A113}"/>
  <tableColumns count="20">
    <tableColumn id="1" xr3:uid="{99768375-85E3-4D29-9244-EAB1457C9301}" name="rank"/>
    <tableColumn id="2" xr3:uid="{C1553C91-970B-45A9-BE6B-7D7E69F9CA55}" name="name"/>
    <tableColumn id="3" xr3:uid="{6752F57B-5243-4F07-8C34-41EC6C2FD8FF}" name="language"/>
    <tableColumn id="4" xr3:uid="{760BE423-3F84-4F5B-BA7B-B63763234C38}" name="type"/>
    <tableColumn id="5" xr3:uid="{46F089D3-64E1-4B76-B6E0-17B3239A9BD0}" name="most_streamed_game"/>
    <tableColumn id="6" xr3:uid="{20D28C8B-4194-47DA-A78A-B9C31D5A1208}" name="second_most_streamed_game"/>
    <tableColumn id="7" xr3:uid="{E807D285-5814-4E1C-8EBF-5AF36FCC7732}" name="average_stream_duration" dataDxfId="5"/>
    <tableColumn id="8" xr3:uid="{591F7E05-6C11-4399-BE77-DDCDA746110C}" name="followers_gained_per_stream"/>
    <tableColumn id="9" xr3:uid="{96B1FB60-6A54-4592-90CD-AACB3BA821FA}" name="avg_viewers_per_stream"/>
    <tableColumn id="10" xr3:uid="{9DB45F28-25AA-4F69-934E-0AF99744794D}" name="avg_games_per_stream"/>
    <tableColumn id="11" xr3:uid="{D20EE616-AFFD-4420-8D8C-55E6BCF0A6F8}" name="total_time_streamed"/>
    <tableColumn id="12" xr3:uid="{048CCF37-1040-475C-ABE1-E5E5AE6E26B4}" name="total_followers" dataDxfId="4"/>
    <tableColumn id="13" xr3:uid="{2A2DF4BF-9B5D-4BDD-A253-3FDA15327490}" name="total_views" dataDxfId="3"/>
    <tableColumn id="14" xr3:uid="{175222CC-C844-4DCB-8A01-469F7D1B57EA}" name="total_games_streamed"/>
    <tableColumn id="15" xr3:uid="{E8CFFFBF-A46C-4E02-9733-69B28224103A}" name="active_days_per_week"/>
    <tableColumn id="16" xr3:uid="{3ABEBFBC-9513-4A48-9558-E8D5A0A932DE}" name="most_active_day"/>
    <tableColumn id="17" xr3:uid="{C3EECCC3-6C0F-41A4-8FFD-0522C88CD24D}" name="day_with_most_followers_gained"/>
    <tableColumn id="18" xr3:uid="{98E0F5F8-FB83-4618-A06C-87880EE77D85}" name="Followers Per Hour" dataDxfId="2">
      <calculatedColumnFormula>Table4[[#This Row],[total_followers]]/(Table4[[#This Row],[total_time_streamed]] / 60)</calculatedColumnFormula>
    </tableColumn>
    <tableColumn id="19" xr3:uid="{9B484CDE-51A1-4557-8787-A631E9767F44}" name="Creator Category" dataDxfId="1">
      <calculatedColumnFormula>IF(Table4[[#This Row],[avg_games_per_stream]] &gt; 2, "Variety", "Focused")</calculatedColumnFormula>
    </tableColumn>
    <tableColumn id="20" xr3:uid="{B73C5344-14A6-41B5-9253-7BDCB63D3FB5}" name="Engagement Rate" dataDxfId="0">
      <calculatedColumnFormula>Table4[[#This Row],[avg_viewers_per_stream]] / Table4[[#This Row],[total_followers]]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91A47-A115-4F0E-82D2-A6256A4869F9}">
  <dimension ref="A3:B10"/>
  <sheetViews>
    <sheetView workbookViewId="0">
      <selection activeCell="M21" sqref="M21"/>
    </sheetView>
  </sheetViews>
  <sheetFormatPr defaultRowHeight="15"/>
  <cols>
    <col min="1" max="1" width="12.28515625" bestFit="1" customWidth="1"/>
    <col min="2" max="2" width="14.42578125" bestFit="1" customWidth="1"/>
  </cols>
  <sheetData>
    <row r="3" spans="1:2">
      <c r="A3" s="5" t="s">
        <v>0</v>
      </c>
      <c r="B3" t="s">
        <v>1</v>
      </c>
    </row>
    <row r="4" spans="1:2">
      <c r="A4" t="s">
        <v>2</v>
      </c>
      <c r="B4" s="6">
        <v>1</v>
      </c>
    </row>
    <row r="5" spans="1:2">
      <c r="A5" t="s">
        <v>3</v>
      </c>
      <c r="B5" s="6">
        <v>37</v>
      </c>
    </row>
    <row r="6" spans="1:2">
      <c r="A6" t="s">
        <v>4</v>
      </c>
      <c r="B6" s="6">
        <v>7</v>
      </c>
    </row>
    <row r="7" spans="1:2">
      <c r="A7" t="s">
        <v>5</v>
      </c>
      <c r="B7" s="6">
        <v>3</v>
      </c>
    </row>
    <row r="8" spans="1:2">
      <c r="A8" t="s">
        <v>6</v>
      </c>
      <c r="B8" s="6">
        <v>4</v>
      </c>
    </row>
    <row r="9" spans="1:2">
      <c r="A9" t="s">
        <v>7</v>
      </c>
      <c r="B9" s="6">
        <v>5</v>
      </c>
    </row>
    <row r="10" spans="1:2">
      <c r="A10" t="s">
        <v>8</v>
      </c>
      <c r="B10" s="6">
        <v>57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B3896-3DFF-41E4-98AB-60D1C6F909D7}">
  <dimension ref="A3:B6"/>
  <sheetViews>
    <sheetView workbookViewId="0">
      <selection activeCell="C5" sqref="C5"/>
    </sheetView>
  </sheetViews>
  <sheetFormatPr defaultRowHeight="15"/>
  <cols>
    <col min="1" max="1" width="19.5703125" bestFit="1" customWidth="1"/>
    <col min="2" max="2" width="34.5703125" bestFit="1" customWidth="1"/>
  </cols>
  <sheetData>
    <row r="3" spans="1:2">
      <c r="A3" s="5" t="s">
        <v>9</v>
      </c>
      <c r="B3" t="s">
        <v>10</v>
      </c>
    </row>
    <row r="4" spans="1:2">
      <c r="A4" t="s">
        <v>11</v>
      </c>
      <c r="B4" s="1">
        <v>17644.543899657925</v>
      </c>
    </row>
    <row r="5" spans="1:2">
      <c r="A5" t="s">
        <v>12</v>
      </c>
      <c r="B5" s="1">
        <v>33616.573770491806</v>
      </c>
    </row>
    <row r="6" spans="1:2">
      <c r="A6" t="s">
        <v>8</v>
      </c>
      <c r="B6" s="1">
        <v>19595.082082082081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4621-AB56-4085-9033-3B21A865E747}">
  <dimension ref="A3:B11"/>
  <sheetViews>
    <sheetView tabSelected="1" workbookViewId="0">
      <selection activeCell="D5" sqref="D5"/>
    </sheetView>
  </sheetViews>
  <sheetFormatPr defaultRowHeight="15"/>
  <cols>
    <col min="1" max="1" width="35.28515625" bestFit="1" customWidth="1"/>
    <col min="2" max="2" width="14.42578125" bestFit="1" customWidth="1"/>
  </cols>
  <sheetData>
    <row r="3" spans="1:2">
      <c r="A3" s="5" t="s">
        <v>13</v>
      </c>
      <c r="B3" t="s">
        <v>1</v>
      </c>
    </row>
    <row r="4" spans="1:2">
      <c r="A4" t="s">
        <v>14</v>
      </c>
      <c r="B4" s="6">
        <v>358</v>
      </c>
    </row>
    <row r="5" spans="1:2">
      <c r="A5" t="s">
        <v>15</v>
      </c>
      <c r="B5" s="6">
        <v>159</v>
      </c>
    </row>
    <row r="6" spans="1:2">
      <c r="A6" t="s">
        <v>16</v>
      </c>
      <c r="B6" s="6">
        <v>138</v>
      </c>
    </row>
    <row r="7" spans="1:2">
      <c r="A7" t="s">
        <v>17</v>
      </c>
      <c r="B7" s="6">
        <v>127</v>
      </c>
    </row>
    <row r="8" spans="1:2">
      <c r="A8" t="s">
        <v>18</v>
      </c>
      <c r="B8" s="6">
        <v>78</v>
      </c>
    </row>
    <row r="9" spans="1:2">
      <c r="A9" t="s">
        <v>19</v>
      </c>
      <c r="B9" s="6">
        <v>74</v>
      </c>
    </row>
    <row r="10" spans="1:2">
      <c r="A10" t="s">
        <v>20</v>
      </c>
      <c r="B10" s="6">
        <v>65</v>
      </c>
    </row>
    <row r="11" spans="1:2">
      <c r="A11" t="s">
        <v>8</v>
      </c>
      <c r="B11" s="6">
        <v>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C9F56-EFF1-441B-8F77-447B0EFCC59B}">
  <dimension ref="A1:T1000"/>
  <sheetViews>
    <sheetView workbookViewId="0">
      <selection activeCell="R10" sqref="R10"/>
    </sheetView>
  </sheetViews>
  <sheetFormatPr defaultRowHeight="15"/>
  <cols>
    <col min="2" max="2" width="23.140625" bestFit="1" customWidth="1"/>
    <col min="3" max="3" width="11.42578125" bestFit="1" customWidth="1"/>
    <col min="4" max="4" width="11.140625" bestFit="1" customWidth="1"/>
    <col min="5" max="6" width="52.140625" bestFit="1" customWidth="1"/>
    <col min="7" max="7" width="27" style="3" bestFit="1" customWidth="1"/>
    <col min="8" max="8" width="30.7109375" bestFit="1" customWidth="1"/>
    <col min="9" max="9" width="26.28515625" bestFit="1" customWidth="1"/>
    <col min="10" max="10" width="25.140625" bestFit="1" customWidth="1"/>
    <col min="11" max="11" width="22.5703125" bestFit="1" customWidth="1"/>
    <col min="12" max="12" width="18.140625" style="2" bestFit="1" customWidth="1"/>
    <col min="13" max="13" width="16.85546875" style="2" bestFit="1" customWidth="1"/>
    <col min="14" max="14" width="24.42578125" bestFit="1" customWidth="1"/>
    <col min="15" max="15" width="24.28515625" bestFit="1" customWidth="1"/>
    <col min="16" max="16" width="18.7109375" bestFit="1" customWidth="1"/>
    <col min="17" max="17" width="34.42578125" bestFit="1" customWidth="1"/>
    <col min="18" max="18" width="19.5703125" customWidth="1"/>
    <col min="19" max="19" width="18.42578125" customWidth="1"/>
    <col min="20" max="20" width="19" style="4" customWidth="1"/>
  </cols>
  <sheetData>
    <row r="1" spans="1:20">
      <c r="A1" t="s">
        <v>21</v>
      </c>
      <c r="B1" t="s">
        <v>22</v>
      </c>
      <c r="C1" t="s">
        <v>0</v>
      </c>
      <c r="D1" t="s">
        <v>23</v>
      </c>
      <c r="E1" t="s">
        <v>24</v>
      </c>
      <c r="F1" t="s">
        <v>25</v>
      </c>
      <c r="G1" s="3" t="s">
        <v>26</v>
      </c>
      <c r="H1" t="s">
        <v>27</v>
      </c>
      <c r="I1" t="s">
        <v>28</v>
      </c>
      <c r="J1" t="s">
        <v>29</v>
      </c>
      <c r="K1" t="s">
        <v>30</v>
      </c>
      <c r="L1" s="2" t="s">
        <v>31</v>
      </c>
      <c r="M1" s="2" t="s">
        <v>32</v>
      </c>
      <c r="N1" t="s">
        <v>33</v>
      </c>
      <c r="O1" t="s">
        <v>34</v>
      </c>
      <c r="P1" t="s">
        <v>35</v>
      </c>
      <c r="Q1" t="s">
        <v>13</v>
      </c>
      <c r="R1" t="s">
        <v>36</v>
      </c>
      <c r="S1" t="s">
        <v>9</v>
      </c>
      <c r="T1" s="4" t="s">
        <v>37</v>
      </c>
    </row>
    <row r="2" spans="1:20">
      <c r="A2">
        <v>1</v>
      </c>
      <c r="B2" t="s">
        <v>38</v>
      </c>
      <c r="C2" t="s">
        <v>3</v>
      </c>
      <c r="D2" t="s">
        <v>39</v>
      </c>
      <c r="E2" t="s">
        <v>40</v>
      </c>
      <c r="F2" t="s">
        <v>41</v>
      </c>
      <c r="G2" s="3">
        <v>7.6</v>
      </c>
      <c r="H2">
        <v>18405</v>
      </c>
      <c r="I2">
        <v>15852</v>
      </c>
      <c r="J2">
        <v>2.2999999999999998</v>
      </c>
      <c r="K2">
        <v>4698</v>
      </c>
      <c r="L2" s="2">
        <v>10600000</v>
      </c>
      <c r="M2" s="2">
        <v>9150000</v>
      </c>
      <c r="N2">
        <v>194</v>
      </c>
      <c r="O2">
        <v>3.6</v>
      </c>
      <c r="P2" t="s">
        <v>18</v>
      </c>
      <c r="Q2" t="s">
        <v>15</v>
      </c>
      <c r="R2" s="2">
        <f>Table4[[#This Row],[total_followers]]/(Table4[[#This Row],[total_time_streamed]] / 60)</f>
        <v>135376.75606641124</v>
      </c>
      <c r="S2" t="str">
        <f>IF(Table4[[#This Row],[avg_games_per_stream]] &gt; 2, "Variety", "Focused")</f>
        <v>Variety</v>
      </c>
      <c r="T2" s="4">
        <f>Table4[[#This Row],[avg_viewers_per_stream]] / Table4[[#This Row],[total_followers]]</f>
        <v>1.4954716981132076E-3</v>
      </c>
    </row>
    <row r="3" spans="1:20">
      <c r="A3">
        <v>2</v>
      </c>
      <c r="B3" t="s">
        <v>42</v>
      </c>
      <c r="C3" t="s">
        <v>3</v>
      </c>
      <c r="D3" t="s">
        <v>39</v>
      </c>
      <c r="E3" t="s">
        <v>43</v>
      </c>
      <c r="F3" t="s">
        <v>44</v>
      </c>
      <c r="G3" s="3">
        <v>5.4</v>
      </c>
      <c r="H3">
        <v>3386</v>
      </c>
      <c r="I3">
        <v>1145</v>
      </c>
      <c r="J3">
        <v>1.2</v>
      </c>
      <c r="K3">
        <v>8407</v>
      </c>
      <c r="L3" s="2">
        <v>5760000</v>
      </c>
      <c r="M3" s="2">
        <v>1950000</v>
      </c>
      <c r="N3">
        <v>54</v>
      </c>
      <c r="O3">
        <v>5.6</v>
      </c>
      <c r="P3" t="s">
        <v>17</v>
      </c>
      <c r="Q3" t="s">
        <v>14</v>
      </c>
      <c r="R3" s="2">
        <f>Table4[[#This Row],[total_followers]]/(Table4[[#This Row],[total_time_streamed]] / 60)</f>
        <v>41108.599976210302</v>
      </c>
      <c r="S3" t="str">
        <f>IF(Table4[[#This Row],[avg_games_per_stream]] &gt; 2, "Variety", "Focused")</f>
        <v>Focused</v>
      </c>
      <c r="T3" s="4">
        <f>Table4[[#This Row],[avg_viewers_per_stream]] / Table4[[#This Row],[total_followers]]</f>
        <v>1.9878472222222221E-4</v>
      </c>
    </row>
    <row r="4" spans="1:20">
      <c r="A4">
        <v>3</v>
      </c>
      <c r="B4" t="s">
        <v>45</v>
      </c>
      <c r="C4" t="s">
        <v>3</v>
      </c>
      <c r="D4" t="s">
        <v>39</v>
      </c>
      <c r="E4" t="s">
        <v>46</v>
      </c>
      <c r="F4" t="s">
        <v>41</v>
      </c>
      <c r="G4" s="3">
        <v>6.3</v>
      </c>
      <c r="H4">
        <v>689</v>
      </c>
      <c r="I4">
        <v>12331</v>
      </c>
      <c r="J4">
        <v>1.3</v>
      </c>
      <c r="K4">
        <v>6728</v>
      </c>
      <c r="L4" s="2">
        <v>797000</v>
      </c>
      <c r="M4" s="2">
        <v>14200000</v>
      </c>
      <c r="N4">
        <v>111</v>
      </c>
      <c r="O4">
        <v>2.8</v>
      </c>
      <c r="P4" t="s">
        <v>20</v>
      </c>
      <c r="Q4" t="s">
        <v>14</v>
      </c>
      <c r="R4" s="2">
        <f>Table4[[#This Row],[total_followers]]/(Table4[[#This Row],[total_time_streamed]] / 60)</f>
        <v>7107.6099881093933</v>
      </c>
      <c r="S4" t="str">
        <f>IF(Table4[[#This Row],[avg_games_per_stream]] &gt; 2, "Variety", "Focused")</f>
        <v>Focused</v>
      </c>
      <c r="T4" s="4">
        <f>Table4[[#This Row],[avg_viewers_per_stream]] / Table4[[#This Row],[total_followers]]</f>
        <v>1.547176913425345E-2</v>
      </c>
    </row>
    <row r="5" spans="1:20">
      <c r="A5">
        <v>4</v>
      </c>
      <c r="B5" t="s">
        <v>47</v>
      </c>
      <c r="C5" t="s">
        <v>3</v>
      </c>
      <c r="D5" t="s">
        <v>39</v>
      </c>
      <c r="E5" t="s">
        <v>48</v>
      </c>
      <c r="F5" t="s">
        <v>40</v>
      </c>
      <c r="G5" s="3">
        <v>4.5999999999999996</v>
      </c>
      <c r="H5">
        <v>7185</v>
      </c>
      <c r="I5">
        <v>0</v>
      </c>
      <c r="J5">
        <v>3.6</v>
      </c>
      <c r="K5">
        <v>2554</v>
      </c>
      <c r="L5" s="2">
        <v>4220000</v>
      </c>
      <c r="M5" s="2">
        <v>53</v>
      </c>
      <c r="N5">
        <v>385</v>
      </c>
      <c r="O5">
        <v>6.2</v>
      </c>
      <c r="P5" t="s">
        <v>18</v>
      </c>
      <c r="Q5" t="s">
        <v>16</v>
      </c>
      <c r="R5" s="2">
        <f>Table4[[#This Row],[total_followers]]/(Table4[[#This Row],[total_time_streamed]] / 60)</f>
        <v>99138.606108065767</v>
      </c>
      <c r="S5" t="str">
        <f>IF(Table4[[#This Row],[avg_games_per_stream]] &gt; 2, "Variety", "Focused")</f>
        <v>Variety</v>
      </c>
      <c r="T5" s="4">
        <f>Table4[[#This Row],[avg_viewers_per_stream]] / Table4[[#This Row],[total_followers]]</f>
        <v>0</v>
      </c>
    </row>
    <row r="6" spans="1:20">
      <c r="A6">
        <v>5</v>
      </c>
      <c r="B6" t="s">
        <v>49</v>
      </c>
      <c r="C6" t="s">
        <v>7</v>
      </c>
      <c r="D6" t="s">
        <v>39</v>
      </c>
      <c r="E6" t="s">
        <v>40</v>
      </c>
      <c r="F6" t="s">
        <v>46</v>
      </c>
      <c r="G6" s="3">
        <v>4.0999999999999996</v>
      </c>
      <c r="H6">
        <v>8289</v>
      </c>
      <c r="I6">
        <v>190714</v>
      </c>
      <c r="J6">
        <v>1.5</v>
      </c>
      <c r="K6">
        <v>6865</v>
      </c>
      <c r="L6" s="2">
        <v>15600000</v>
      </c>
      <c r="M6" s="2">
        <v>359000000</v>
      </c>
      <c r="N6">
        <v>149</v>
      </c>
      <c r="O6">
        <v>4.3</v>
      </c>
      <c r="P6" t="s">
        <v>19</v>
      </c>
      <c r="Q6" t="s">
        <v>15</v>
      </c>
      <c r="R6" s="2">
        <f>Table4[[#This Row],[total_followers]]/(Table4[[#This Row],[total_time_streamed]] / 60)</f>
        <v>136343.77276037872</v>
      </c>
      <c r="S6" t="str">
        <f>IF(Table4[[#This Row],[avg_games_per_stream]] &gt; 2, "Variety", "Focused")</f>
        <v>Focused</v>
      </c>
      <c r="T6" s="4">
        <f>Table4[[#This Row],[avg_viewers_per_stream]] / Table4[[#This Row],[total_followers]]</f>
        <v>1.2225256410256411E-2</v>
      </c>
    </row>
    <row r="7" spans="1:20">
      <c r="A7">
        <v>6</v>
      </c>
      <c r="B7" t="s">
        <v>50</v>
      </c>
      <c r="C7" t="s">
        <v>7</v>
      </c>
      <c r="D7" t="s">
        <v>39</v>
      </c>
      <c r="E7" t="s">
        <v>51</v>
      </c>
      <c r="F7" t="s">
        <v>40</v>
      </c>
      <c r="G7" s="3">
        <v>3.7</v>
      </c>
      <c r="H7">
        <v>1326</v>
      </c>
      <c r="I7">
        <v>213849</v>
      </c>
      <c r="J7">
        <v>1.8</v>
      </c>
      <c r="K7">
        <v>4482</v>
      </c>
      <c r="L7" s="2">
        <v>16300000</v>
      </c>
      <c r="M7" s="2">
        <v>263000000</v>
      </c>
      <c r="N7">
        <v>169</v>
      </c>
      <c r="O7">
        <v>5</v>
      </c>
      <c r="P7" t="s">
        <v>19</v>
      </c>
      <c r="Q7" t="s">
        <v>14</v>
      </c>
      <c r="R7" s="2">
        <f>Table4[[#This Row],[total_followers]]/(Table4[[#This Row],[total_time_streamed]] / 60)</f>
        <v>218206.15796519411</v>
      </c>
      <c r="S7" t="str">
        <f>IF(Table4[[#This Row],[avg_games_per_stream]] &gt; 2, "Variety", "Focused")</f>
        <v>Focused</v>
      </c>
      <c r="T7" s="4">
        <f>Table4[[#This Row],[avg_viewers_per_stream]] / Table4[[#This Row],[total_followers]]</f>
        <v>1.311957055214724E-2</v>
      </c>
    </row>
    <row r="8" spans="1:20">
      <c r="A8">
        <v>7</v>
      </c>
      <c r="B8" t="s">
        <v>52</v>
      </c>
      <c r="C8" t="s">
        <v>4</v>
      </c>
      <c r="D8" t="s">
        <v>39</v>
      </c>
      <c r="E8" t="s">
        <v>53</v>
      </c>
      <c r="F8" t="s">
        <v>54</v>
      </c>
      <c r="G8" s="3">
        <v>5.0999999999999996</v>
      </c>
      <c r="H8">
        <v>6670</v>
      </c>
      <c r="I8">
        <v>70813</v>
      </c>
      <c r="J8">
        <v>1.6</v>
      </c>
      <c r="K8">
        <v>9845</v>
      </c>
      <c r="L8" s="2">
        <v>1570000</v>
      </c>
      <c r="M8" s="2">
        <v>156000000</v>
      </c>
      <c r="N8">
        <v>448</v>
      </c>
      <c r="O8">
        <v>5</v>
      </c>
      <c r="P8" t="s">
        <v>14</v>
      </c>
      <c r="Q8" t="s">
        <v>14</v>
      </c>
      <c r="R8" s="2">
        <f>Table4[[#This Row],[total_followers]]/(Table4[[#This Row],[total_time_streamed]] / 60)</f>
        <v>9568.3087861858803</v>
      </c>
      <c r="S8" t="str">
        <f>IF(Table4[[#This Row],[avg_games_per_stream]] &gt; 2, "Variety", "Focused")</f>
        <v>Focused</v>
      </c>
      <c r="T8" s="4">
        <f>Table4[[#This Row],[avg_viewers_per_stream]] / Table4[[#This Row],[total_followers]]</f>
        <v>4.5103821656050952E-2</v>
      </c>
    </row>
    <row r="9" spans="1:20">
      <c r="A9">
        <v>8</v>
      </c>
      <c r="B9" t="s">
        <v>55</v>
      </c>
      <c r="C9" t="s">
        <v>3</v>
      </c>
      <c r="D9" t="s">
        <v>39</v>
      </c>
      <c r="E9" t="s">
        <v>54</v>
      </c>
      <c r="F9" t="s">
        <v>56</v>
      </c>
      <c r="G9" s="3">
        <v>7.6</v>
      </c>
      <c r="H9">
        <v>2013</v>
      </c>
      <c r="I9">
        <v>6043</v>
      </c>
      <c r="J9">
        <v>1.3</v>
      </c>
      <c r="K9">
        <v>10995</v>
      </c>
      <c r="L9" s="2">
        <v>3110000</v>
      </c>
      <c r="M9" s="2">
        <v>93300000</v>
      </c>
      <c r="N9">
        <v>78</v>
      </c>
      <c r="O9">
        <v>3.7</v>
      </c>
      <c r="P9" t="s">
        <v>20</v>
      </c>
      <c r="Q9" t="s">
        <v>14</v>
      </c>
      <c r="R9" s="2">
        <f>Table4[[#This Row],[total_followers]]/(Table4[[#This Row],[total_time_streamed]] / 60)</f>
        <v>16971.350613915416</v>
      </c>
      <c r="S9" t="str">
        <f>IF(Table4[[#This Row],[avg_games_per_stream]] &gt; 2, "Variety", "Focused")</f>
        <v>Focused</v>
      </c>
      <c r="T9" s="4">
        <f>Table4[[#This Row],[avg_viewers_per_stream]] / Table4[[#This Row],[total_followers]]</f>
        <v>1.9430868167202573E-3</v>
      </c>
    </row>
    <row r="10" spans="1:20">
      <c r="A10">
        <v>9</v>
      </c>
      <c r="B10" t="s">
        <v>57</v>
      </c>
      <c r="C10" t="s">
        <v>3</v>
      </c>
      <c r="D10" t="s">
        <v>58</v>
      </c>
      <c r="E10" t="s">
        <v>46</v>
      </c>
      <c r="F10" t="s">
        <v>59</v>
      </c>
      <c r="G10" s="3">
        <v>8.5</v>
      </c>
      <c r="H10">
        <v>3434</v>
      </c>
      <c r="I10">
        <v>346968</v>
      </c>
      <c r="J10">
        <v>1</v>
      </c>
      <c r="K10">
        <v>9459</v>
      </c>
      <c r="L10" s="2">
        <v>6860000</v>
      </c>
      <c r="M10" s="2">
        <v>1339000</v>
      </c>
      <c r="N10">
        <v>8</v>
      </c>
      <c r="O10">
        <v>2.8</v>
      </c>
      <c r="P10" t="s">
        <v>15</v>
      </c>
      <c r="Q10" t="s">
        <v>14</v>
      </c>
      <c r="R10" s="2">
        <f>Table4[[#This Row],[total_followers]]/(Table4[[#This Row],[total_time_streamed]] / 60)</f>
        <v>43514.113542657782</v>
      </c>
      <c r="S10" t="str">
        <f>IF(Table4[[#This Row],[avg_games_per_stream]] &gt; 2, "Variety", "Focused")</f>
        <v>Focused</v>
      </c>
      <c r="T10" s="4">
        <f>Table4[[#This Row],[avg_viewers_per_stream]] / Table4[[#This Row],[total_followers]]</f>
        <v>5.0578425655976679E-2</v>
      </c>
    </row>
    <row r="11" spans="1:20">
      <c r="A11">
        <v>10</v>
      </c>
      <c r="B11" t="s">
        <v>60</v>
      </c>
      <c r="C11" t="s">
        <v>61</v>
      </c>
      <c r="D11" t="s">
        <v>39</v>
      </c>
      <c r="E11" t="s">
        <v>40</v>
      </c>
      <c r="F11" t="s">
        <v>51</v>
      </c>
      <c r="G11" s="3">
        <v>7.6</v>
      </c>
      <c r="H11">
        <v>1273</v>
      </c>
      <c r="I11">
        <v>48758</v>
      </c>
      <c r="J11">
        <v>2.8</v>
      </c>
      <c r="K11">
        <v>13979</v>
      </c>
      <c r="L11" s="2">
        <v>2410000</v>
      </c>
      <c r="M11" s="2">
        <v>92800000</v>
      </c>
      <c r="N11">
        <v>503</v>
      </c>
      <c r="O11">
        <v>4.7</v>
      </c>
      <c r="P11" t="s">
        <v>19</v>
      </c>
      <c r="Q11" t="s">
        <v>15</v>
      </c>
      <c r="R11" s="2">
        <f>Table4[[#This Row],[total_followers]]/(Table4[[#This Row],[total_time_streamed]] / 60)</f>
        <v>10344.087559911297</v>
      </c>
      <c r="S11" t="str">
        <f>IF(Table4[[#This Row],[avg_games_per_stream]] &gt; 2, "Variety", "Focused")</f>
        <v>Variety</v>
      </c>
      <c r="T11" s="4">
        <f>Table4[[#This Row],[avg_viewers_per_stream]] / Table4[[#This Row],[total_followers]]</f>
        <v>2.0231535269709545E-2</v>
      </c>
    </row>
    <row r="12" spans="1:20">
      <c r="A12">
        <v>11</v>
      </c>
      <c r="B12" t="s">
        <v>62</v>
      </c>
      <c r="C12" t="s">
        <v>63</v>
      </c>
      <c r="D12" t="s">
        <v>39</v>
      </c>
      <c r="E12" t="s">
        <v>64</v>
      </c>
      <c r="G12" s="3">
        <v>10.7</v>
      </c>
      <c r="H12">
        <v>1629</v>
      </c>
      <c r="I12">
        <v>0</v>
      </c>
      <c r="J12">
        <v>1</v>
      </c>
      <c r="K12">
        <v>2291</v>
      </c>
      <c r="L12" s="2">
        <v>352000</v>
      </c>
      <c r="M12" s="2">
        <v>0</v>
      </c>
      <c r="N12">
        <v>1</v>
      </c>
      <c r="O12">
        <v>2.8</v>
      </c>
      <c r="P12" t="s">
        <v>17</v>
      </c>
      <c r="Q12" t="s">
        <v>14</v>
      </c>
      <c r="R12" s="2">
        <f>Table4[[#This Row],[total_followers]]/(Table4[[#This Row],[total_time_streamed]] / 60)</f>
        <v>9218.6817983413366</v>
      </c>
      <c r="S12" t="str">
        <f>IF(Table4[[#This Row],[avg_games_per_stream]] &gt; 2, "Variety", "Focused")</f>
        <v>Focused</v>
      </c>
      <c r="T12" s="4">
        <f>Table4[[#This Row],[avg_viewers_per_stream]] / Table4[[#This Row],[total_followers]]</f>
        <v>0</v>
      </c>
    </row>
    <row r="13" spans="1:20">
      <c r="A13">
        <v>12</v>
      </c>
      <c r="B13" t="s">
        <v>65</v>
      </c>
      <c r="C13" t="s">
        <v>4</v>
      </c>
      <c r="D13" t="s">
        <v>39</v>
      </c>
      <c r="E13" t="s">
        <v>66</v>
      </c>
      <c r="F13" t="s">
        <v>40</v>
      </c>
      <c r="G13" s="3">
        <v>4.3</v>
      </c>
      <c r="H13">
        <v>5295</v>
      </c>
      <c r="I13">
        <v>30366</v>
      </c>
      <c r="J13">
        <v>1.9</v>
      </c>
      <c r="K13">
        <v>2623</v>
      </c>
      <c r="L13" s="2">
        <v>2590000</v>
      </c>
      <c r="M13" s="2">
        <v>14900000</v>
      </c>
      <c r="N13">
        <v>68</v>
      </c>
      <c r="O13">
        <v>2.8</v>
      </c>
      <c r="P13" t="s">
        <v>16</v>
      </c>
      <c r="Q13" t="s">
        <v>15</v>
      </c>
      <c r="R13" s="2">
        <f>Table4[[#This Row],[total_followers]]/(Table4[[#This Row],[total_time_streamed]] / 60)</f>
        <v>59245.13915364087</v>
      </c>
      <c r="S13" t="str">
        <f>IF(Table4[[#This Row],[avg_games_per_stream]] &gt; 2, "Variety", "Focused")</f>
        <v>Focused</v>
      </c>
      <c r="T13" s="4">
        <f>Table4[[#This Row],[avg_viewers_per_stream]] / Table4[[#This Row],[total_followers]]</f>
        <v>1.1724324324324324E-2</v>
      </c>
    </row>
    <row r="14" spans="1:20">
      <c r="A14">
        <v>13</v>
      </c>
      <c r="B14" t="s">
        <v>67</v>
      </c>
      <c r="C14" t="s">
        <v>5</v>
      </c>
      <c r="D14" t="s">
        <v>39</v>
      </c>
      <c r="E14" t="s">
        <v>68</v>
      </c>
      <c r="F14" t="s">
        <v>54</v>
      </c>
      <c r="G14" s="3">
        <v>6.3</v>
      </c>
      <c r="H14">
        <v>5460</v>
      </c>
      <c r="I14">
        <v>23768</v>
      </c>
      <c r="J14">
        <v>1.2</v>
      </c>
      <c r="K14">
        <v>67</v>
      </c>
      <c r="L14" s="2">
        <v>939000</v>
      </c>
      <c r="M14" s="2">
        <v>38400000</v>
      </c>
      <c r="N14">
        <v>136</v>
      </c>
      <c r="O14">
        <v>5.2</v>
      </c>
      <c r="P14" t="s">
        <v>15</v>
      </c>
      <c r="Q14" t="s">
        <v>14</v>
      </c>
      <c r="R14" s="2">
        <f>Table4[[#This Row],[total_followers]]/(Table4[[#This Row],[total_time_streamed]] / 60)</f>
        <v>840895.52238805965</v>
      </c>
      <c r="S14" t="str">
        <f>IF(Table4[[#This Row],[avg_games_per_stream]] &gt; 2, "Variety", "Focused")</f>
        <v>Focused</v>
      </c>
      <c r="T14" s="4">
        <f>Table4[[#This Row],[avg_viewers_per_stream]] / Table4[[#This Row],[total_followers]]</f>
        <v>2.5312034078807243E-2</v>
      </c>
    </row>
    <row r="15" spans="1:20">
      <c r="A15">
        <v>14</v>
      </c>
      <c r="B15" t="s">
        <v>69</v>
      </c>
      <c r="C15" t="s">
        <v>5</v>
      </c>
      <c r="D15" t="s">
        <v>39</v>
      </c>
      <c r="E15" t="s">
        <v>70</v>
      </c>
      <c r="F15" t="s">
        <v>68</v>
      </c>
      <c r="G15" s="3">
        <v>9.6</v>
      </c>
      <c r="H15">
        <v>5170</v>
      </c>
      <c r="I15">
        <v>49442</v>
      </c>
      <c r="J15">
        <v>1.7</v>
      </c>
      <c r="K15">
        <v>235</v>
      </c>
      <c r="L15" s="2">
        <v>1420000</v>
      </c>
      <c r="M15" s="2">
        <v>136000000</v>
      </c>
      <c r="N15">
        <v>311</v>
      </c>
      <c r="O15">
        <v>6.3</v>
      </c>
      <c r="P15" t="s">
        <v>16</v>
      </c>
      <c r="Q15" t="s">
        <v>14</v>
      </c>
      <c r="R15" s="2">
        <f>Table4[[#This Row],[total_followers]]/(Table4[[#This Row],[total_time_streamed]] / 60)</f>
        <v>362553.19148936169</v>
      </c>
      <c r="S15" t="str">
        <f>IF(Table4[[#This Row],[avg_games_per_stream]] &gt; 2, "Variety", "Focused")</f>
        <v>Focused</v>
      </c>
      <c r="T15" s="4">
        <f>Table4[[#This Row],[avg_viewers_per_stream]] / Table4[[#This Row],[total_followers]]</f>
        <v>3.4818309859154926E-2</v>
      </c>
    </row>
    <row r="16" spans="1:20">
      <c r="A16">
        <v>15</v>
      </c>
      <c r="B16" t="s">
        <v>71</v>
      </c>
      <c r="C16" t="s">
        <v>7</v>
      </c>
      <c r="D16" t="s">
        <v>39</v>
      </c>
      <c r="E16" t="s">
        <v>40</v>
      </c>
      <c r="F16" t="s">
        <v>51</v>
      </c>
      <c r="G16" s="3">
        <v>4.5</v>
      </c>
      <c r="H16">
        <v>2993</v>
      </c>
      <c r="I16">
        <v>52631</v>
      </c>
      <c r="J16">
        <v>1.7</v>
      </c>
      <c r="K16">
        <v>7382</v>
      </c>
      <c r="L16" s="2">
        <v>4090000</v>
      </c>
      <c r="M16" s="2">
        <v>72000000</v>
      </c>
      <c r="N16">
        <v>368</v>
      </c>
      <c r="O16">
        <v>4.5</v>
      </c>
      <c r="P16" t="s">
        <v>20</v>
      </c>
      <c r="Q16" t="s">
        <v>14</v>
      </c>
      <c r="R16" s="2">
        <f>Table4[[#This Row],[total_followers]]/(Table4[[#This Row],[total_time_streamed]] / 60)</f>
        <v>33243.02357084801</v>
      </c>
      <c r="S16" t="str">
        <f>IF(Table4[[#This Row],[avg_games_per_stream]] &gt; 2, "Variety", "Focused")</f>
        <v>Focused</v>
      </c>
      <c r="T16" s="4">
        <f>Table4[[#This Row],[avg_viewers_per_stream]] / Table4[[#This Row],[total_followers]]</f>
        <v>1.2868215158924206E-2</v>
      </c>
    </row>
    <row r="17" spans="1:20">
      <c r="A17">
        <v>16</v>
      </c>
      <c r="B17" t="s">
        <v>72</v>
      </c>
      <c r="C17" t="s">
        <v>3</v>
      </c>
      <c r="D17" t="s">
        <v>39</v>
      </c>
      <c r="E17" t="s">
        <v>40</v>
      </c>
      <c r="F17" t="s">
        <v>66</v>
      </c>
      <c r="G17" s="3">
        <v>7.4</v>
      </c>
      <c r="H17">
        <v>1201</v>
      </c>
      <c r="I17">
        <v>53092</v>
      </c>
      <c r="J17">
        <v>1.5</v>
      </c>
      <c r="K17">
        <v>15811</v>
      </c>
      <c r="L17" s="2">
        <v>2570000</v>
      </c>
      <c r="M17" s="2">
        <v>114000000</v>
      </c>
      <c r="N17">
        <v>244</v>
      </c>
      <c r="O17">
        <v>6.6</v>
      </c>
      <c r="P17" t="s">
        <v>17</v>
      </c>
      <c r="Q17" t="s">
        <v>18</v>
      </c>
      <c r="R17" s="2">
        <f>Table4[[#This Row],[total_followers]]/(Table4[[#This Row],[total_time_streamed]] / 60)</f>
        <v>9752.7038138005191</v>
      </c>
      <c r="S17" t="str">
        <f>IF(Table4[[#This Row],[avg_games_per_stream]] &gt; 2, "Variety", "Focused")</f>
        <v>Focused</v>
      </c>
      <c r="T17" s="4">
        <f>Table4[[#This Row],[avg_viewers_per_stream]] / Table4[[#This Row],[total_followers]]</f>
        <v>2.0658365758754862E-2</v>
      </c>
    </row>
    <row r="18" spans="1:20">
      <c r="A18">
        <v>17</v>
      </c>
      <c r="B18" t="s">
        <v>73</v>
      </c>
      <c r="C18" t="s">
        <v>61</v>
      </c>
      <c r="D18" t="s">
        <v>39</v>
      </c>
      <c r="E18" t="s">
        <v>40</v>
      </c>
      <c r="F18" t="s">
        <v>74</v>
      </c>
      <c r="G18" s="3">
        <v>4.8</v>
      </c>
      <c r="H18">
        <v>3495</v>
      </c>
      <c r="I18">
        <v>10764</v>
      </c>
      <c r="J18">
        <v>2.2000000000000002</v>
      </c>
      <c r="K18">
        <v>714</v>
      </c>
      <c r="L18" s="2">
        <v>5340000</v>
      </c>
      <c r="M18" s="2">
        <v>156000000</v>
      </c>
      <c r="N18">
        <v>114</v>
      </c>
      <c r="O18">
        <v>3.8</v>
      </c>
      <c r="P18" t="s">
        <v>14</v>
      </c>
      <c r="Q18" t="s">
        <v>17</v>
      </c>
      <c r="R18" s="2">
        <f>Table4[[#This Row],[total_followers]]/(Table4[[#This Row],[total_time_streamed]] / 60)</f>
        <v>448739.49579831929</v>
      </c>
      <c r="S18" t="str">
        <f>IF(Table4[[#This Row],[avg_games_per_stream]] &gt; 2, "Variety", "Focused")</f>
        <v>Variety</v>
      </c>
      <c r="T18" s="4">
        <f>Table4[[#This Row],[avg_viewers_per_stream]] / Table4[[#This Row],[total_followers]]</f>
        <v>2.0157303370786517E-3</v>
      </c>
    </row>
    <row r="19" spans="1:20">
      <c r="A19">
        <v>18</v>
      </c>
      <c r="B19" t="s">
        <v>75</v>
      </c>
      <c r="C19" t="s">
        <v>3</v>
      </c>
      <c r="D19" t="s">
        <v>58</v>
      </c>
      <c r="E19" t="s">
        <v>68</v>
      </c>
      <c r="F19" t="s">
        <v>12</v>
      </c>
      <c r="G19" s="3">
        <v>5.3</v>
      </c>
      <c r="H19">
        <v>5908</v>
      </c>
      <c r="I19">
        <v>8679</v>
      </c>
      <c r="J19">
        <v>1</v>
      </c>
      <c r="K19">
        <v>1056</v>
      </c>
      <c r="L19" s="2">
        <v>1210000</v>
      </c>
      <c r="M19" s="2">
        <v>17800000</v>
      </c>
      <c r="N19">
        <v>2</v>
      </c>
      <c r="O19">
        <v>0.7</v>
      </c>
      <c r="P19" t="s">
        <v>16</v>
      </c>
      <c r="Q19" t="s">
        <v>18</v>
      </c>
      <c r="R19" s="2">
        <f>Table4[[#This Row],[total_followers]]/(Table4[[#This Row],[total_time_streamed]] / 60)</f>
        <v>68750</v>
      </c>
      <c r="S19" t="str">
        <f>IF(Table4[[#This Row],[avg_games_per_stream]] &gt; 2, "Variety", "Focused")</f>
        <v>Focused</v>
      </c>
      <c r="T19" s="4">
        <f>Table4[[#This Row],[avg_viewers_per_stream]] / Table4[[#This Row],[total_followers]]</f>
        <v>7.1727272727272725E-3</v>
      </c>
    </row>
    <row r="20" spans="1:20">
      <c r="A20">
        <v>19</v>
      </c>
      <c r="B20" t="s">
        <v>76</v>
      </c>
      <c r="C20" t="s">
        <v>2</v>
      </c>
      <c r="D20" t="s">
        <v>58</v>
      </c>
      <c r="E20" t="s">
        <v>46</v>
      </c>
      <c r="G20" s="3">
        <v>5.6</v>
      </c>
      <c r="H20">
        <v>6340</v>
      </c>
      <c r="I20">
        <v>101849</v>
      </c>
      <c r="J20">
        <v>1</v>
      </c>
      <c r="K20">
        <v>2503</v>
      </c>
      <c r="L20" s="2">
        <v>281000</v>
      </c>
      <c r="M20" s="2">
        <v>44900000</v>
      </c>
      <c r="N20">
        <v>1</v>
      </c>
      <c r="O20">
        <v>2</v>
      </c>
      <c r="P20" t="s">
        <v>15</v>
      </c>
      <c r="Q20" t="s">
        <v>17</v>
      </c>
      <c r="R20" s="2">
        <f>Table4[[#This Row],[total_followers]]/(Table4[[#This Row],[total_time_streamed]] / 60)</f>
        <v>6735.9168997203351</v>
      </c>
      <c r="S20" t="str">
        <f>IF(Table4[[#This Row],[avg_games_per_stream]] &gt; 2, "Variety", "Focused")</f>
        <v>Focused</v>
      </c>
      <c r="T20" s="4">
        <f>Table4[[#This Row],[avg_viewers_per_stream]] / Table4[[#This Row],[total_followers]]</f>
        <v>0.36245195729537366</v>
      </c>
    </row>
    <row r="21" spans="1:20">
      <c r="A21">
        <v>20</v>
      </c>
      <c r="B21" t="s">
        <v>77</v>
      </c>
      <c r="C21" t="s">
        <v>3</v>
      </c>
      <c r="D21" t="s">
        <v>58</v>
      </c>
      <c r="E21" t="s">
        <v>64</v>
      </c>
      <c r="G21" s="3">
        <v>10.199999999999999</v>
      </c>
      <c r="H21">
        <v>1457</v>
      </c>
      <c r="I21">
        <v>111936</v>
      </c>
      <c r="J21">
        <v>1</v>
      </c>
      <c r="K21">
        <v>3421</v>
      </c>
      <c r="L21" s="2">
        <v>450000</v>
      </c>
      <c r="M21" s="2">
        <v>38100000</v>
      </c>
      <c r="N21">
        <v>1</v>
      </c>
      <c r="O21">
        <v>0.8</v>
      </c>
      <c r="P21" t="s">
        <v>15</v>
      </c>
      <c r="Q21" t="s">
        <v>14</v>
      </c>
      <c r="R21" s="2">
        <f>Table4[[#This Row],[total_followers]]/(Table4[[#This Row],[total_time_streamed]] / 60)</f>
        <v>7892.4291142940665</v>
      </c>
      <c r="S21" t="str">
        <f>IF(Table4[[#This Row],[avg_games_per_stream]] &gt; 2, "Variety", "Focused")</f>
        <v>Focused</v>
      </c>
      <c r="T21" s="4">
        <f>Table4[[#This Row],[avg_viewers_per_stream]] / Table4[[#This Row],[total_followers]]</f>
        <v>0.24874666666666667</v>
      </c>
    </row>
    <row r="22" spans="1:20">
      <c r="A22">
        <v>21</v>
      </c>
      <c r="B22" t="s">
        <v>78</v>
      </c>
      <c r="C22" t="s">
        <v>3</v>
      </c>
      <c r="D22" t="s">
        <v>39</v>
      </c>
      <c r="E22" t="s">
        <v>79</v>
      </c>
      <c r="F22" t="s">
        <v>40</v>
      </c>
      <c r="G22" s="3">
        <v>8.8000000000000007</v>
      </c>
      <c r="H22">
        <v>5132</v>
      </c>
      <c r="I22">
        <v>224584</v>
      </c>
      <c r="J22">
        <v>3.3</v>
      </c>
      <c r="K22">
        <v>21756</v>
      </c>
      <c r="L22" s="2">
        <v>12000000</v>
      </c>
      <c r="M22" s="2">
        <v>525000000</v>
      </c>
      <c r="N22">
        <v>967</v>
      </c>
      <c r="O22">
        <v>6.3</v>
      </c>
      <c r="P22" t="s">
        <v>19</v>
      </c>
      <c r="Q22" t="s">
        <v>20</v>
      </c>
      <c r="R22" s="2">
        <f>Table4[[#This Row],[total_followers]]/(Table4[[#This Row],[total_time_streamed]] / 60)</f>
        <v>33094.318808604519</v>
      </c>
      <c r="S22" t="str">
        <f>IF(Table4[[#This Row],[avg_games_per_stream]] &gt; 2, "Variety", "Focused")</f>
        <v>Variety</v>
      </c>
      <c r="T22" s="4">
        <f>Table4[[#This Row],[avg_viewers_per_stream]] / Table4[[#This Row],[total_followers]]</f>
        <v>1.8715333333333334E-2</v>
      </c>
    </row>
    <row r="23" spans="1:20">
      <c r="A23">
        <v>22</v>
      </c>
      <c r="B23" t="s">
        <v>80</v>
      </c>
      <c r="C23" t="s">
        <v>6</v>
      </c>
      <c r="D23" t="s">
        <v>39</v>
      </c>
      <c r="E23" t="s">
        <v>66</v>
      </c>
      <c r="F23" t="s">
        <v>40</v>
      </c>
      <c r="G23" s="3">
        <v>5.8</v>
      </c>
      <c r="H23">
        <v>5358</v>
      </c>
      <c r="I23">
        <v>5144</v>
      </c>
      <c r="J23">
        <v>2.6</v>
      </c>
      <c r="K23">
        <v>5903</v>
      </c>
      <c r="L23" s="2">
        <v>5380000</v>
      </c>
      <c r="M23" s="2">
        <v>50800000</v>
      </c>
      <c r="N23">
        <v>196</v>
      </c>
      <c r="O23">
        <v>5.3</v>
      </c>
      <c r="P23" t="s">
        <v>20</v>
      </c>
      <c r="Q23" t="s">
        <v>20</v>
      </c>
      <c r="R23" s="2">
        <f>Table4[[#This Row],[total_followers]]/(Table4[[#This Row],[total_time_streamed]] / 60)</f>
        <v>54684.058953074702</v>
      </c>
      <c r="S23" t="str">
        <f>IF(Table4[[#This Row],[avg_games_per_stream]] &gt; 2, "Variety", "Focused")</f>
        <v>Variety</v>
      </c>
      <c r="T23" s="4">
        <f>Table4[[#This Row],[avg_viewers_per_stream]] / Table4[[#This Row],[total_followers]]</f>
        <v>9.561338289962825E-4</v>
      </c>
    </row>
    <row r="24" spans="1:20">
      <c r="A24">
        <v>23</v>
      </c>
      <c r="B24" t="s">
        <v>81</v>
      </c>
      <c r="C24" t="s">
        <v>5</v>
      </c>
      <c r="D24" t="s">
        <v>39</v>
      </c>
      <c r="E24" t="s">
        <v>66</v>
      </c>
      <c r="F24" t="s">
        <v>51</v>
      </c>
      <c r="G24" s="3">
        <v>3.8</v>
      </c>
      <c r="H24">
        <v>4060</v>
      </c>
      <c r="I24">
        <v>507</v>
      </c>
      <c r="J24">
        <v>1.2</v>
      </c>
      <c r="K24">
        <v>5974</v>
      </c>
      <c r="L24" s="2">
        <v>689000</v>
      </c>
      <c r="M24" s="2">
        <v>8610000</v>
      </c>
      <c r="N24">
        <v>172</v>
      </c>
      <c r="O24">
        <v>4.0999999999999996</v>
      </c>
      <c r="P24" t="s">
        <v>15</v>
      </c>
      <c r="Q24" t="s">
        <v>14</v>
      </c>
      <c r="R24" s="2">
        <f>Table4[[#This Row],[total_followers]]/(Table4[[#This Row],[total_time_streamed]] / 60)</f>
        <v>6919.9866086374295</v>
      </c>
      <c r="S24" t="str">
        <f>IF(Table4[[#This Row],[avg_games_per_stream]] &gt; 2, "Variety", "Focused")</f>
        <v>Focused</v>
      </c>
      <c r="T24" s="4">
        <f>Table4[[#This Row],[avg_viewers_per_stream]] / Table4[[#This Row],[total_followers]]</f>
        <v>7.3584905660377354E-4</v>
      </c>
    </row>
    <row r="25" spans="1:20">
      <c r="A25">
        <v>24</v>
      </c>
      <c r="B25" t="s">
        <v>82</v>
      </c>
      <c r="C25" t="s">
        <v>6</v>
      </c>
      <c r="D25" t="s">
        <v>58</v>
      </c>
      <c r="E25" t="s">
        <v>56</v>
      </c>
      <c r="F25" t="s">
        <v>83</v>
      </c>
      <c r="G25" s="3">
        <v>22.5</v>
      </c>
      <c r="H25">
        <v>2425</v>
      </c>
      <c r="I25">
        <v>235565</v>
      </c>
      <c r="J25">
        <v>2.5</v>
      </c>
      <c r="K25">
        <v>52432</v>
      </c>
      <c r="L25" s="2">
        <v>4139999</v>
      </c>
      <c r="M25" s="2">
        <v>405000000</v>
      </c>
      <c r="N25">
        <v>211</v>
      </c>
      <c r="O25">
        <v>7</v>
      </c>
      <c r="P25" t="s">
        <v>16</v>
      </c>
      <c r="Q25" t="s">
        <v>15</v>
      </c>
      <c r="R25" s="2">
        <f>Table4[[#This Row],[total_followers]]/(Table4[[#This Row],[total_time_streamed]] / 60)</f>
        <v>4737.5637015563016</v>
      </c>
      <c r="S25" t="str">
        <f>IF(Table4[[#This Row],[avg_games_per_stream]] &gt; 2, "Variety", "Focused")</f>
        <v>Variety</v>
      </c>
      <c r="T25" s="4">
        <f>Table4[[#This Row],[avg_viewers_per_stream]] / Table4[[#This Row],[total_followers]]</f>
        <v>5.6899772198012608E-2</v>
      </c>
    </row>
    <row r="26" spans="1:20">
      <c r="A26">
        <v>25</v>
      </c>
      <c r="B26" t="s">
        <v>84</v>
      </c>
      <c r="C26" t="s">
        <v>6</v>
      </c>
      <c r="D26" t="s">
        <v>39</v>
      </c>
      <c r="E26" t="s">
        <v>40</v>
      </c>
      <c r="F26" t="s">
        <v>85</v>
      </c>
      <c r="G26" s="3">
        <v>6.7</v>
      </c>
      <c r="H26">
        <v>1404</v>
      </c>
      <c r="I26">
        <v>0</v>
      </c>
      <c r="J26">
        <v>1.3</v>
      </c>
      <c r="K26">
        <v>2903</v>
      </c>
      <c r="L26" s="2">
        <v>564000</v>
      </c>
      <c r="M26" s="2">
        <v>5</v>
      </c>
      <c r="N26">
        <v>19</v>
      </c>
      <c r="O26">
        <v>4.2</v>
      </c>
      <c r="P26" t="s">
        <v>17</v>
      </c>
      <c r="Q26" t="s">
        <v>15</v>
      </c>
      <c r="R26" s="2">
        <f>Table4[[#This Row],[total_followers]]/(Table4[[#This Row],[total_time_streamed]] / 60)</f>
        <v>11656.906648294867</v>
      </c>
      <c r="S26" t="str">
        <f>IF(Table4[[#This Row],[avg_games_per_stream]] &gt; 2, "Variety", "Focused")</f>
        <v>Focused</v>
      </c>
      <c r="T26" s="4">
        <f>Table4[[#This Row],[avg_viewers_per_stream]] / Table4[[#This Row],[total_followers]]</f>
        <v>0</v>
      </c>
    </row>
    <row r="27" spans="1:20">
      <c r="A27">
        <v>26</v>
      </c>
      <c r="B27" t="s">
        <v>86</v>
      </c>
      <c r="C27" t="s">
        <v>61</v>
      </c>
      <c r="D27" t="s">
        <v>39</v>
      </c>
      <c r="E27" t="s">
        <v>40</v>
      </c>
      <c r="F27" t="s">
        <v>74</v>
      </c>
      <c r="G27" s="3">
        <v>6.4</v>
      </c>
      <c r="H27">
        <v>1914</v>
      </c>
      <c r="I27">
        <v>23751</v>
      </c>
      <c r="J27">
        <v>2.4</v>
      </c>
      <c r="K27">
        <v>7332</v>
      </c>
      <c r="L27" s="2">
        <v>1880000</v>
      </c>
      <c r="M27" s="2">
        <v>23300000</v>
      </c>
      <c r="N27">
        <v>95</v>
      </c>
      <c r="O27">
        <v>3.9</v>
      </c>
      <c r="P27" t="s">
        <v>20</v>
      </c>
      <c r="Q27" t="s">
        <v>16</v>
      </c>
      <c r="R27" s="2">
        <f>Table4[[#This Row],[total_followers]]/(Table4[[#This Row],[total_time_streamed]] / 60)</f>
        <v>15384.615384615385</v>
      </c>
      <c r="S27" t="str">
        <f>IF(Table4[[#This Row],[avg_games_per_stream]] &gt; 2, "Variety", "Focused")</f>
        <v>Variety</v>
      </c>
      <c r="T27" s="4">
        <f>Table4[[#This Row],[avg_viewers_per_stream]] / Table4[[#This Row],[total_followers]]</f>
        <v>1.2633510638297872E-2</v>
      </c>
    </row>
    <row r="28" spans="1:20">
      <c r="A28">
        <v>27</v>
      </c>
      <c r="B28" t="s">
        <v>87</v>
      </c>
      <c r="C28" t="s">
        <v>3</v>
      </c>
      <c r="D28" t="s">
        <v>39</v>
      </c>
      <c r="E28" t="s">
        <v>66</v>
      </c>
      <c r="F28" t="s">
        <v>88</v>
      </c>
      <c r="G28" s="3">
        <v>6.8</v>
      </c>
      <c r="H28">
        <v>4780</v>
      </c>
      <c r="I28">
        <v>25866</v>
      </c>
      <c r="J28">
        <v>1.2</v>
      </c>
      <c r="K28">
        <v>986</v>
      </c>
      <c r="L28" s="2">
        <v>655000</v>
      </c>
      <c r="M28" s="2">
        <v>35400000</v>
      </c>
      <c r="N28">
        <v>66</v>
      </c>
      <c r="O28">
        <v>4.0999999999999996</v>
      </c>
      <c r="P28" t="s">
        <v>18</v>
      </c>
      <c r="Q28" t="s">
        <v>16</v>
      </c>
      <c r="R28" s="2">
        <f>Table4[[#This Row],[total_followers]]/(Table4[[#This Row],[total_time_streamed]] / 60)</f>
        <v>39858.012170385395</v>
      </c>
      <c r="S28" t="str">
        <f>IF(Table4[[#This Row],[avg_games_per_stream]] &gt; 2, "Variety", "Focused")</f>
        <v>Focused</v>
      </c>
      <c r="T28" s="4">
        <f>Table4[[#This Row],[avg_viewers_per_stream]] / Table4[[#This Row],[total_followers]]</f>
        <v>3.9490076335877859E-2</v>
      </c>
    </row>
    <row r="29" spans="1:20">
      <c r="A29">
        <v>29</v>
      </c>
      <c r="B29" t="s">
        <v>89</v>
      </c>
      <c r="C29" t="s">
        <v>3</v>
      </c>
      <c r="D29" t="s">
        <v>39</v>
      </c>
      <c r="E29" t="s">
        <v>53</v>
      </c>
      <c r="F29" t="s">
        <v>40</v>
      </c>
      <c r="G29" s="3">
        <v>6.1</v>
      </c>
      <c r="H29">
        <v>163</v>
      </c>
      <c r="I29">
        <v>19883</v>
      </c>
      <c r="J29">
        <v>1.7</v>
      </c>
      <c r="K29">
        <v>6369</v>
      </c>
      <c r="L29" s="2">
        <v>1790000</v>
      </c>
      <c r="M29" s="2">
        <v>21800000</v>
      </c>
      <c r="N29">
        <v>105</v>
      </c>
      <c r="O29">
        <v>5.2</v>
      </c>
      <c r="P29" t="s">
        <v>16</v>
      </c>
      <c r="Q29" t="s">
        <v>18</v>
      </c>
      <c r="R29" s="2">
        <f>Table4[[#This Row],[total_followers]]/(Table4[[#This Row],[total_time_streamed]] / 60)</f>
        <v>16862.929816297692</v>
      </c>
      <c r="S29" t="str">
        <f>IF(Table4[[#This Row],[avg_games_per_stream]] &gt; 2, "Variety", "Focused")</f>
        <v>Focused</v>
      </c>
      <c r="T29" s="4">
        <f>Table4[[#This Row],[avg_viewers_per_stream]] / Table4[[#This Row],[total_followers]]</f>
        <v>1.1107821229050279E-2</v>
      </c>
    </row>
    <row r="30" spans="1:20">
      <c r="A30">
        <v>30</v>
      </c>
      <c r="B30" t="s">
        <v>90</v>
      </c>
      <c r="C30" t="s">
        <v>91</v>
      </c>
      <c r="D30" t="s">
        <v>39</v>
      </c>
      <c r="E30" t="s">
        <v>40</v>
      </c>
      <c r="F30" t="s">
        <v>66</v>
      </c>
      <c r="G30" s="3">
        <v>5.3</v>
      </c>
      <c r="H30">
        <v>1172</v>
      </c>
      <c r="I30">
        <v>18224</v>
      </c>
      <c r="J30">
        <v>4</v>
      </c>
      <c r="K30">
        <v>7991</v>
      </c>
      <c r="L30" s="2">
        <v>1500000</v>
      </c>
      <c r="M30" s="2">
        <v>23200000</v>
      </c>
      <c r="N30">
        <v>466</v>
      </c>
      <c r="O30">
        <v>3.9</v>
      </c>
      <c r="P30" t="s">
        <v>16</v>
      </c>
      <c r="Q30" t="s">
        <v>20</v>
      </c>
      <c r="R30" s="2">
        <f>Table4[[#This Row],[total_followers]]/(Table4[[#This Row],[total_time_streamed]] / 60)</f>
        <v>11262.670504317357</v>
      </c>
      <c r="S30" t="str">
        <f>IF(Table4[[#This Row],[avg_games_per_stream]] &gt; 2, "Variety", "Focused")</f>
        <v>Variety</v>
      </c>
      <c r="T30" s="4">
        <f>Table4[[#This Row],[avg_viewers_per_stream]] / Table4[[#This Row],[total_followers]]</f>
        <v>1.2149333333333333E-2</v>
      </c>
    </row>
    <row r="31" spans="1:20">
      <c r="A31">
        <v>31</v>
      </c>
      <c r="B31" t="s">
        <v>92</v>
      </c>
      <c r="C31" t="s">
        <v>3</v>
      </c>
      <c r="D31" t="s">
        <v>58</v>
      </c>
      <c r="E31" t="s">
        <v>79</v>
      </c>
      <c r="F31" t="s">
        <v>93</v>
      </c>
      <c r="G31" s="3">
        <v>7.2</v>
      </c>
      <c r="H31">
        <v>5493</v>
      </c>
      <c r="I31">
        <v>400009</v>
      </c>
      <c r="J31">
        <v>1</v>
      </c>
      <c r="K31">
        <v>717</v>
      </c>
      <c r="L31" s="2">
        <v>1970000</v>
      </c>
      <c r="M31" s="2">
        <v>240000000</v>
      </c>
      <c r="N31">
        <v>2</v>
      </c>
      <c r="O31">
        <v>1.4</v>
      </c>
      <c r="P31" t="s">
        <v>15</v>
      </c>
      <c r="Q31" t="s">
        <v>15</v>
      </c>
      <c r="R31" s="2">
        <f>Table4[[#This Row],[total_followers]]/(Table4[[#This Row],[total_time_streamed]] / 60)</f>
        <v>164853.55648535566</v>
      </c>
      <c r="S31" t="str">
        <f>IF(Table4[[#This Row],[avg_games_per_stream]] &gt; 2, "Variety", "Focused")</f>
        <v>Focused</v>
      </c>
      <c r="T31" s="4">
        <f>Table4[[#This Row],[avg_viewers_per_stream]] / Table4[[#This Row],[total_followers]]</f>
        <v>0.20305025380710659</v>
      </c>
    </row>
    <row r="32" spans="1:20">
      <c r="A32">
        <v>32</v>
      </c>
      <c r="B32" t="s">
        <v>94</v>
      </c>
      <c r="C32" t="s">
        <v>3</v>
      </c>
      <c r="D32" t="s">
        <v>39</v>
      </c>
      <c r="E32" t="s">
        <v>70</v>
      </c>
      <c r="F32" t="s">
        <v>54</v>
      </c>
      <c r="G32" s="3">
        <v>8</v>
      </c>
      <c r="H32">
        <v>5394</v>
      </c>
      <c r="I32">
        <v>28744</v>
      </c>
      <c r="J32">
        <v>2</v>
      </c>
      <c r="K32">
        <v>16781</v>
      </c>
      <c r="L32" s="2">
        <v>10900000</v>
      </c>
      <c r="M32" s="2">
        <v>571000000</v>
      </c>
      <c r="N32">
        <v>354</v>
      </c>
      <c r="O32">
        <v>5.4</v>
      </c>
      <c r="P32" t="s">
        <v>20</v>
      </c>
      <c r="Q32" t="s">
        <v>20</v>
      </c>
      <c r="R32" s="2">
        <f>Table4[[#This Row],[total_followers]]/(Table4[[#This Row],[total_time_streamed]] / 60)</f>
        <v>38972.647637208749</v>
      </c>
      <c r="S32" t="str">
        <f>IF(Table4[[#This Row],[avg_games_per_stream]] &gt; 2, "Variety", "Focused")</f>
        <v>Focused</v>
      </c>
      <c r="T32" s="4">
        <f>Table4[[#This Row],[avg_viewers_per_stream]] / Table4[[#This Row],[total_followers]]</f>
        <v>2.6370642201834862E-3</v>
      </c>
    </row>
    <row r="33" spans="1:20">
      <c r="A33">
        <v>33</v>
      </c>
      <c r="B33" t="s">
        <v>95</v>
      </c>
      <c r="C33" t="s">
        <v>5</v>
      </c>
      <c r="D33" t="s">
        <v>39</v>
      </c>
      <c r="E33" t="s">
        <v>96</v>
      </c>
      <c r="G33" s="3">
        <v>6.9</v>
      </c>
      <c r="H33">
        <v>16467</v>
      </c>
      <c r="I33">
        <v>0</v>
      </c>
      <c r="J33">
        <v>1</v>
      </c>
      <c r="K33">
        <v>70</v>
      </c>
      <c r="L33" s="2">
        <v>29100</v>
      </c>
      <c r="M33" s="2">
        <v>0</v>
      </c>
      <c r="N33">
        <v>1</v>
      </c>
      <c r="O33">
        <v>1</v>
      </c>
      <c r="P33" t="s">
        <v>14</v>
      </c>
      <c r="Q33" t="s">
        <v>14</v>
      </c>
      <c r="R33" s="2">
        <f>Table4[[#This Row],[total_followers]]/(Table4[[#This Row],[total_time_streamed]] / 60)</f>
        <v>24942.857142857141</v>
      </c>
      <c r="S33" t="str">
        <f>IF(Table4[[#This Row],[avg_games_per_stream]] &gt; 2, "Variety", "Focused")</f>
        <v>Focused</v>
      </c>
      <c r="T33" s="4">
        <f>Table4[[#This Row],[avg_viewers_per_stream]] / Table4[[#This Row],[total_followers]]</f>
        <v>0</v>
      </c>
    </row>
    <row r="34" spans="1:20">
      <c r="A34">
        <v>34</v>
      </c>
      <c r="B34" t="s">
        <v>97</v>
      </c>
      <c r="C34" t="s">
        <v>6</v>
      </c>
      <c r="D34" t="s">
        <v>39</v>
      </c>
      <c r="E34" t="s">
        <v>66</v>
      </c>
      <c r="F34" t="s">
        <v>98</v>
      </c>
      <c r="G34" s="3">
        <v>3</v>
      </c>
      <c r="H34">
        <v>6917</v>
      </c>
      <c r="I34">
        <v>2030</v>
      </c>
      <c r="J34">
        <v>1.2</v>
      </c>
      <c r="K34">
        <v>1618</v>
      </c>
      <c r="L34" s="2">
        <v>2930000</v>
      </c>
      <c r="M34" s="2">
        <v>86000</v>
      </c>
      <c r="N34">
        <v>15</v>
      </c>
      <c r="O34">
        <v>2.5</v>
      </c>
      <c r="P34" t="s">
        <v>19</v>
      </c>
      <c r="Q34" t="s">
        <v>17</v>
      </c>
      <c r="R34" s="2">
        <f>Table4[[#This Row],[total_followers]]/(Table4[[#This Row],[total_time_streamed]] / 60)</f>
        <v>108652.65760197776</v>
      </c>
      <c r="S34" t="str">
        <f>IF(Table4[[#This Row],[avg_games_per_stream]] &gt; 2, "Variety", "Focused")</f>
        <v>Focused</v>
      </c>
      <c r="T34" s="4">
        <f>Table4[[#This Row],[avg_viewers_per_stream]] / Table4[[#This Row],[total_followers]]</f>
        <v>6.9283276450511947E-4</v>
      </c>
    </row>
    <row r="35" spans="1:20">
      <c r="A35">
        <v>35</v>
      </c>
      <c r="B35" t="s">
        <v>99</v>
      </c>
      <c r="C35" t="s">
        <v>4</v>
      </c>
      <c r="D35" t="s">
        <v>39</v>
      </c>
      <c r="E35" t="s">
        <v>40</v>
      </c>
      <c r="F35" t="s">
        <v>100</v>
      </c>
      <c r="G35" s="3">
        <v>3.8</v>
      </c>
      <c r="H35">
        <v>85</v>
      </c>
      <c r="I35">
        <v>113477</v>
      </c>
      <c r="J35">
        <v>1.8</v>
      </c>
      <c r="K35">
        <v>2525</v>
      </c>
      <c r="L35" s="2">
        <v>5030000</v>
      </c>
      <c r="M35" s="2">
        <v>66700000</v>
      </c>
      <c r="N35">
        <v>287</v>
      </c>
      <c r="O35">
        <v>1.7</v>
      </c>
      <c r="P35" t="s">
        <v>20</v>
      </c>
      <c r="Q35" t="s">
        <v>15</v>
      </c>
      <c r="R35" s="2">
        <f>Table4[[#This Row],[total_followers]]/(Table4[[#This Row],[total_time_streamed]] / 60)</f>
        <v>119524.75247524751</v>
      </c>
      <c r="S35" t="str">
        <f>IF(Table4[[#This Row],[avg_games_per_stream]] &gt; 2, "Variety", "Focused")</f>
        <v>Focused</v>
      </c>
      <c r="T35" s="4">
        <f>Table4[[#This Row],[avg_viewers_per_stream]] / Table4[[#This Row],[total_followers]]</f>
        <v>2.2560039761431411E-2</v>
      </c>
    </row>
    <row r="36" spans="1:20">
      <c r="A36">
        <v>36</v>
      </c>
      <c r="B36" t="s">
        <v>101</v>
      </c>
      <c r="C36" t="s">
        <v>4</v>
      </c>
      <c r="D36" t="s">
        <v>39</v>
      </c>
      <c r="E36" t="s">
        <v>46</v>
      </c>
      <c r="F36" t="s">
        <v>40</v>
      </c>
      <c r="G36" s="3">
        <v>6.6</v>
      </c>
      <c r="H36">
        <v>6470</v>
      </c>
      <c r="I36">
        <v>37566</v>
      </c>
      <c r="J36">
        <v>2.6</v>
      </c>
      <c r="K36">
        <v>16141</v>
      </c>
      <c r="L36" s="2">
        <v>1880000</v>
      </c>
      <c r="M36" s="2">
        <v>108000000</v>
      </c>
      <c r="N36">
        <v>604</v>
      </c>
      <c r="O36">
        <v>6.2</v>
      </c>
      <c r="P36" t="s">
        <v>19</v>
      </c>
      <c r="Q36" t="s">
        <v>14</v>
      </c>
      <c r="R36" s="2">
        <f>Table4[[#This Row],[total_followers]]/(Table4[[#This Row],[total_time_streamed]] / 60)</f>
        <v>6988.4145963694946</v>
      </c>
      <c r="S36" t="str">
        <f>IF(Table4[[#This Row],[avg_games_per_stream]] &gt; 2, "Variety", "Focused")</f>
        <v>Variety</v>
      </c>
      <c r="T36" s="4">
        <f>Table4[[#This Row],[avg_viewers_per_stream]] / Table4[[#This Row],[total_followers]]</f>
        <v>1.9981914893617021E-2</v>
      </c>
    </row>
    <row r="37" spans="1:20">
      <c r="A37">
        <v>37</v>
      </c>
      <c r="B37" t="s">
        <v>102</v>
      </c>
      <c r="C37" t="s">
        <v>61</v>
      </c>
      <c r="D37" t="s">
        <v>39</v>
      </c>
      <c r="E37" t="s">
        <v>40</v>
      </c>
      <c r="F37" t="s">
        <v>51</v>
      </c>
      <c r="G37" s="3">
        <v>6</v>
      </c>
      <c r="H37">
        <v>1463</v>
      </c>
      <c r="I37">
        <v>116486</v>
      </c>
      <c r="J37">
        <v>2.7</v>
      </c>
      <c r="K37">
        <v>7598</v>
      </c>
      <c r="L37" s="2">
        <v>1680000</v>
      </c>
      <c r="M37" s="2">
        <v>112000000</v>
      </c>
      <c r="N37">
        <v>686</v>
      </c>
      <c r="O37">
        <v>3.2</v>
      </c>
      <c r="P37" t="s">
        <v>18</v>
      </c>
      <c r="Q37" t="s">
        <v>18</v>
      </c>
      <c r="R37" s="2">
        <f>Table4[[#This Row],[total_followers]]/(Table4[[#This Row],[total_time_streamed]] / 60)</f>
        <v>13266.649118188996</v>
      </c>
      <c r="S37" t="str">
        <f>IF(Table4[[#This Row],[avg_games_per_stream]] &gt; 2, "Variety", "Focused")</f>
        <v>Variety</v>
      </c>
      <c r="T37" s="4">
        <f>Table4[[#This Row],[avg_viewers_per_stream]] / Table4[[#This Row],[total_followers]]</f>
        <v>6.9336904761904766E-2</v>
      </c>
    </row>
    <row r="38" spans="1:20">
      <c r="A38">
        <v>38</v>
      </c>
      <c r="B38" t="s">
        <v>103</v>
      </c>
      <c r="C38" t="s">
        <v>7</v>
      </c>
      <c r="D38" t="s">
        <v>39</v>
      </c>
      <c r="E38" t="s">
        <v>104</v>
      </c>
      <c r="F38" t="s">
        <v>74</v>
      </c>
      <c r="G38" s="3">
        <v>3.4</v>
      </c>
      <c r="H38">
        <v>13617</v>
      </c>
      <c r="I38">
        <v>0</v>
      </c>
      <c r="J38">
        <v>1</v>
      </c>
      <c r="K38">
        <v>1340</v>
      </c>
      <c r="L38" s="2">
        <v>467000</v>
      </c>
      <c r="M38" s="2">
        <v>0</v>
      </c>
      <c r="N38">
        <v>3</v>
      </c>
      <c r="O38">
        <v>1.3</v>
      </c>
      <c r="P38" t="s">
        <v>14</v>
      </c>
      <c r="Q38" t="s">
        <v>19</v>
      </c>
      <c r="R38" s="2">
        <f>Table4[[#This Row],[total_followers]]/(Table4[[#This Row],[total_time_streamed]] / 60)</f>
        <v>20910.447761194031</v>
      </c>
      <c r="S38" t="str">
        <f>IF(Table4[[#This Row],[avg_games_per_stream]] &gt; 2, "Variety", "Focused")</f>
        <v>Focused</v>
      </c>
      <c r="T38" s="4">
        <f>Table4[[#This Row],[avg_viewers_per_stream]] / Table4[[#This Row],[total_followers]]</f>
        <v>0</v>
      </c>
    </row>
    <row r="39" spans="1:20">
      <c r="A39">
        <v>39</v>
      </c>
      <c r="B39" t="s">
        <v>105</v>
      </c>
      <c r="C39" t="s">
        <v>7</v>
      </c>
      <c r="D39" t="s">
        <v>39</v>
      </c>
      <c r="E39" t="s">
        <v>54</v>
      </c>
      <c r="F39" t="s">
        <v>56</v>
      </c>
      <c r="G39" s="3">
        <v>4.8</v>
      </c>
      <c r="H39">
        <v>1124</v>
      </c>
      <c r="I39">
        <v>27368</v>
      </c>
      <c r="J39">
        <v>1.1000000000000001</v>
      </c>
      <c r="K39">
        <v>4432</v>
      </c>
      <c r="L39" s="2">
        <v>1090000</v>
      </c>
      <c r="M39" s="2">
        <v>26400000</v>
      </c>
      <c r="N39">
        <v>42</v>
      </c>
      <c r="O39">
        <v>2.2999999999999998</v>
      </c>
      <c r="P39" t="s">
        <v>14</v>
      </c>
      <c r="Q39" t="s">
        <v>14</v>
      </c>
      <c r="R39" s="2">
        <f>Table4[[#This Row],[total_followers]]/(Table4[[#This Row],[total_time_streamed]] / 60)</f>
        <v>14756.317689530688</v>
      </c>
      <c r="S39" t="str">
        <f>IF(Table4[[#This Row],[avg_games_per_stream]] &gt; 2, "Variety", "Focused")</f>
        <v>Focused</v>
      </c>
      <c r="T39" s="4">
        <f>Table4[[#This Row],[avg_viewers_per_stream]] / Table4[[#This Row],[total_followers]]</f>
        <v>2.5108256880733947E-2</v>
      </c>
    </row>
    <row r="40" spans="1:20">
      <c r="A40">
        <v>40</v>
      </c>
      <c r="B40" t="s">
        <v>106</v>
      </c>
      <c r="C40" t="s">
        <v>3</v>
      </c>
      <c r="D40" t="s">
        <v>58</v>
      </c>
      <c r="E40" t="s">
        <v>107</v>
      </c>
      <c r="F40" t="s">
        <v>12</v>
      </c>
      <c r="G40" s="3">
        <v>5.8</v>
      </c>
      <c r="H40">
        <v>2048</v>
      </c>
      <c r="I40">
        <v>54303</v>
      </c>
      <c r="J40">
        <v>1</v>
      </c>
      <c r="K40">
        <v>8260</v>
      </c>
      <c r="L40" s="2">
        <v>332000</v>
      </c>
      <c r="M40" s="2">
        <v>8800000</v>
      </c>
      <c r="N40">
        <v>2</v>
      </c>
      <c r="O40">
        <v>0.5</v>
      </c>
      <c r="P40" t="s">
        <v>14</v>
      </c>
      <c r="Q40" t="s">
        <v>18</v>
      </c>
      <c r="R40" s="2">
        <f>Table4[[#This Row],[total_followers]]/(Table4[[#This Row],[total_time_streamed]] / 60)</f>
        <v>2411.6222760290557</v>
      </c>
      <c r="S40" t="str">
        <f>IF(Table4[[#This Row],[avg_games_per_stream]] &gt; 2, "Variety", "Focused")</f>
        <v>Focused</v>
      </c>
      <c r="T40" s="4">
        <f>Table4[[#This Row],[avg_viewers_per_stream]] / Table4[[#This Row],[total_followers]]</f>
        <v>0.16356325301204819</v>
      </c>
    </row>
    <row r="41" spans="1:20">
      <c r="A41">
        <v>41</v>
      </c>
      <c r="B41" t="s">
        <v>108</v>
      </c>
      <c r="C41" t="s">
        <v>3</v>
      </c>
      <c r="D41" t="s">
        <v>39</v>
      </c>
      <c r="E41" t="s">
        <v>66</v>
      </c>
      <c r="F41" t="s">
        <v>109</v>
      </c>
      <c r="G41" s="3">
        <v>10.1</v>
      </c>
      <c r="H41">
        <v>1861</v>
      </c>
      <c r="I41">
        <v>162001</v>
      </c>
      <c r="J41">
        <v>1.7</v>
      </c>
      <c r="K41">
        <v>26449</v>
      </c>
      <c r="L41" s="2">
        <v>6270000</v>
      </c>
      <c r="M41" s="2">
        <v>505000000</v>
      </c>
      <c r="N41">
        <v>328</v>
      </c>
      <c r="O41">
        <v>6.7</v>
      </c>
      <c r="P41" t="s">
        <v>17</v>
      </c>
      <c r="Q41" t="s">
        <v>15</v>
      </c>
      <c r="R41" s="2">
        <f>Table4[[#This Row],[total_followers]]/(Table4[[#This Row],[total_time_streamed]] / 60)</f>
        <v>14223.600136111007</v>
      </c>
      <c r="S41" t="str">
        <f>IF(Table4[[#This Row],[avg_games_per_stream]] &gt; 2, "Variety", "Focused")</f>
        <v>Focused</v>
      </c>
      <c r="T41" s="4">
        <f>Table4[[#This Row],[avg_viewers_per_stream]] / Table4[[#This Row],[total_followers]]</f>
        <v>2.5837480063795853E-2</v>
      </c>
    </row>
    <row r="42" spans="1:20">
      <c r="A42">
        <v>42</v>
      </c>
      <c r="B42" t="s">
        <v>110</v>
      </c>
      <c r="C42" t="s">
        <v>3</v>
      </c>
      <c r="D42" t="s">
        <v>39</v>
      </c>
      <c r="E42" t="s">
        <v>40</v>
      </c>
      <c r="F42" t="s">
        <v>70</v>
      </c>
      <c r="G42" s="3">
        <v>6.6</v>
      </c>
      <c r="H42">
        <v>6380</v>
      </c>
      <c r="I42">
        <v>117105</v>
      </c>
      <c r="J42">
        <v>4</v>
      </c>
      <c r="K42">
        <v>15993</v>
      </c>
      <c r="L42" s="2">
        <v>2970000</v>
      </c>
      <c r="M42" s="2">
        <v>422000000</v>
      </c>
      <c r="N42">
        <v>2710</v>
      </c>
      <c r="O42">
        <v>6.1</v>
      </c>
      <c r="P42" t="s">
        <v>14</v>
      </c>
      <c r="Q42" t="s">
        <v>16</v>
      </c>
      <c r="R42" s="2">
        <f>Table4[[#This Row],[total_followers]]/(Table4[[#This Row],[total_time_streamed]] / 60)</f>
        <v>11142.374788970174</v>
      </c>
      <c r="S42" t="str">
        <f>IF(Table4[[#This Row],[avg_games_per_stream]] &gt; 2, "Variety", "Focused")</f>
        <v>Variety</v>
      </c>
      <c r="T42" s="4">
        <f>Table4[[#This Row],[avg_viewers_per_stream]] / Table4[[#This Row],[total_followers]]</f>
        <v>3.9429292929292932E-2</v>
      </c>
    </row>
    <row r="43" spans="1:20">
      <c r="A43">
        <v>43</v>
      </c>
      <c r="B43" t="s">
        <v>111</v>
      </c>
      <c r="C43" t="s">
        <v>7</v>
      </c>
      <c r="D43" t="s">
        <v>39</v>
      </c>
      <c r="E43" t="s">
        <v>66</v>
      </c>
      <c r="F43" t="s">
        <v>51</v>
      </c>
      <c r="G43" s="3">
        <v>5.6</v>
      </c>
      <c r="H43">
        <v>4640</v>
      </c>
      <c r="I43">
        <v>10358</v>
      </c>
      <c r="J43">
        <v>1.3</v>
      </c>
      <c r="K43">
        <v>7586</v>
      </c>
      <c r="L43" s="2">
        <v>574000</v>
      </c>
      <c r="M43" s="2">
        <v>12800000</v>
      </c>
      <c r="N43">
        <v>44</v>
      </c>
      <c r="O43">
        <v>5.0999999999999996</v>
      </c>
      <c r="P43" t="s">
        <v>18</v>
      </c>
      <c r="Q43" t="s">
        <v>17</v>
      </c>
      <c r="R43" s="2">
        <f>Table4[[#This Row],[total_followers]]/(Table4[[#This Row],[total_time_streamed]] / 60)</f>
        <v>4539.9419984181386</v>
      </c>
      <c r="S43" t="str">
        <f>IF(Table4[[#This Row],[avg_games_per_stream]] &gt; 2, "Variety", "Focused")</f>
        <v>Focused</v>
      </c>
      <c r="T43" s="4">
        <f>Table4[[#This Row],[avg_viewers_per_stream]] / Table4[[#This Row],[total_followers]]</f>
        <v>1.8045296167247388E-2</v>
      </c>
    </row>
    <row r="44" spans="1:20">
      <c r="A44">
        <v>44</v>
      </c>
      <c r="B44" t="s">
        <v>112</v>
      </c>
      <c r="C44" t="s">
        <v>3</v>
      </c>
      <c r="D44" t="s">
        <v>39</v>
      </c>
      <c r="E44" t="s">
        <v>113</v>
      </c>
      <c r="F44" t="s">
        <v>114</v>
      </c>
      <c r="G44" s="3">
        <v>6</v>
      </c>
      <c r="H44">
        <v>6090</v>
      </c>
      <c r="I44">
        <v>6434</v>
      </c>
      <c r="J44">
        <v>1.2</v>
      </c>
      <c r="K44">
        <v>5162</v>
      </c>
      <c r="L44" s="2">
        <v>501000</v>
      </c>
      <c r="M44" s="2">
        <v>5290000</v>
      </c>
      <c r="N44">
        <v>42</v>
      </c>
      <c r="O44">
        <v>2.2999999999999998</v>
      </c>
      <c r="P44" t="s">
        <v>18</v>
      </c>
      <c r="Q44" t="s">
        <v>15</v>
      </c>
      <c r="R44" s="2">
        <f>Table4[[#This Row],[total_followers]]/(Table4[[#This Row],[total_time_streamed]] / 60)</f>
        <v>5823.324292909725</v>
      </c>
      <c r="S44" t="str">
        <f>IF(Table4[[#This Row],[avg_games_per_stream]] &gt; 2, "Variety", "Focused")</f>
        <v>Focused</v>
      </c>
      <c r="T44" s="4">
        <f>Table4[[#This Row],[avg_viewers_per_stream]] / Table4[[#This Row],[total_followers]]</f>
        <v>1.2842315369261477E-2</v>
      </c>
    </row>
    <row r="45" spans="1:20">
      <c r="A45">
        <v>45</v>
      </c>
      <c r="B45" t="s">
        <v>115</v>
      </c>
      <c r="C45" t="s">
        <v>3</v>
      </c>
      <c r="D45" t="s">
        <v>39</v>
      </c>
      <c r="E45" t="s">
        <v>116</v>
      </c>
      <c r="F45" t="s">
        <v>117</v>
      </c>
      <c r="G45" s="3">
        <v>1.2</v>
      </c>
      <c r="H45">
        <v>1896</v>
      </c>
      <c r="I45">
        <v>30886</v>
      </c>
      <c r="J45">
        <v>1</v>
      </c>
      <c r="K45">
        <v>1416</v>
      </c>
      <c r="L45" s="2">
        <v>2080000</v>
      </c>
      <c r="M45" s="2">
        <v>36300000</v>
      </c>
      <c r="N45">
        <v>2</v>
      </c>
      <c r="O45">
        <v>3.1</v>
      </c>
      <c r="P45" t="s">
        <v>18</v>
      </c>
      <c r="Q45" t="s">
        <v>15</v>
      </c>
      <c r="R45" s="2">
        <f>Table4[[#This Row],[total_followers]]/(Table4[[#This Row],[total_time_streamed]] / 60)</f>
        <v>88135.593220338982</v>
      </c>
      <c r="S45" t="str">
        <f>IF(Table4[[#This Row],[avg_games_per_stream]] &gt; 2, "Variety", "Focused")</f>
        <v>Focused</v>
      </c>
      <c r="T45" s="4">
        <f>Table4[[#This Row],[avg_viewers_per_stream]] / Table4[[#This Row],[total_followers]]</f>
        <v>1.4849038461538462E-2</v>
      </c>
    </row>
    <row r="46" spans="1:20">
      <c r="A46">
        <v>46</v>
      </c>
      <c r="B46" t="s">
        <v>118</v>
      </c>
      <c r="C46" t="s">
        <v>3</v>
      </c>
      <c r="D46" t="s">
        <v>39</v>
      </c>
      <c r="E46" t="s">
        <v>68</v>
      </c>
      <c r="F46" t="s">
        <v>88</v>
      </c>
      <c r="G46" s="3">
        <v>6.3</v>
      </c>
      <c r="H46">
        <v>4840</v>
      </c>
      <c r="I46">
        <v>9867</v>
      </c>
      <c r="J46">
        <v>1.1000000000000001</v>
      </c>
      <c r="K46">
        <v>10622</v>
      </c>
      <c r="L46" s="2">
        <v>800000</v>
      </c>
      <c r="M46" s="2">
        <v>16300000</v>
      </c>
      <c r="N46">
        <v>49</v>
      </c>
      <c r="O46">
        <v>6.1</v>
      </c>
      <c r="P46" t="s">
        <v>17</v>
      </c>
      <c r="Q46" t="s">
        <v>14</v>
      </c>
      <c r="R46" s="2">
        <f>Table4[[#This Row],[total_followers]]/(Table4[[#This Row],[total_time_streamed]] / 60)</f>
        <v>4518.9229900207119</v>
      </c>
      <c r="S46" t="str">
        <f>IF(Table4[[#This Row],[avg_games_per_stream]] &gt; 2, "Variety", "Focused")</f>
        <v>Focused</v>
      </c>
      <c r="T46" s="4">
        <f>Table4[[#This Row],[avg_viewers_per_stream]] / Table4[[#This Row],[total_followers]]</f>
        <v>1.2333749999999999E-2</v>
      </c>
    </row>
    <row r="47" spans="1:20">
      <c r="A47">
        <v>47</v>
      </c>
      <c r="B47" t="s">
        <v>119</v>
      </c>
      <c r="C47" t="s">
        <v>5</v>
      </c>
      <c r="D47" t="s">
        <v>39</v>
      </c>
      <c r="E47" t="s">
        <v>68</v>
      </c>
      <c r="F47" t="s">
        <v>70</v>
      </c>
      <c r="G47" s="3">
        <v>7.6</v>
      </c>
      <c r="H47">
        <v>4870</v>
      </c>
      <c r="I47">
        <v>60412</v>
      </c>
      <c r="J47">
        <v>1.5</v>
      </c>
      <c r="K47">
        <v>14593</v>
      </c>
      <c r="L47" s="2">
        <v>1050000</v>
      </c>
      <c r="M47" s="2">
        <v>129000000</v>
      </c>
      <c r="N47">
        <v>324</v>
      </c>
      <c r="O47">
        <v>4.9000000000000004</v>
      </c>
      <c r="P47" t="s">
        <v>18</v>
      </c>
      <c r="Q47" t="s">
        <v>14</v>
      </c>
      <c r="R47" s="2">
        <f>Table4[[#This Row],[total_followers]]/(Table4[[#This Row],[total_time_streamed]] / 60)</f>
        <v>4317.1383540053448</v>
      </c>
      <c r="S47" t="str">
        <f>IF(Table4[[#This Row],[avg_games_per_stream]] &gt; 2, "Variety", "Focused")</f>
        <v>Focused</v>
      </c>
      <c r="T47" s="4">
        <f>Table4[[#This Row],[avg_viewers_per_stream]] / Table4[[#This Row],[total_followers]]</f>
        <v>5.7535238095238098E-2</v>
      </c>
    </row>
    <row r="48" spans="1:20">
      <c r="A48">
        <v>48</v>
      </c>
      <c r="B48" t="s">
        <v>120</v>
      </c>
      <c r="C48" t="s">
        <v>3</v>
      </c>
      <c r="D48" t="s">
        <v>58</v>
      </c>
      <c r="E48" t="s">
        <v>121</v>
      </c>
      <c r="G48" s="3">
        <v>5</v>
      </c>
      <c r="H48">
        <v>4823</v>
      </c>
      <c r="I48">
        <v>349645</v>
      </c>
      <c r="J48">
        <v>1</v>
      </c>
      <c r="K48">
        <v>426</v>
      </c>
      <c r="L48" s="2">
        <v>4220000</v>
      </c>
      <c r="M48" s="2">
        <v>312000000</v>
      </c>
      <c r="N48">
        <v>1</v>
      </c>
      <c r="O48">
        <v>2.2000000000000002</v>
      </c>
      <c r="P48" t="s">
        <v>14</v>
      </c>
      <c r="Q48" t="s">
        <v>14</v>
      </c>
      <c r="R48" s="2">
        <f>Table4[[#This Row],[total_followers]]/(Table4[[#This Row],[total_time_streamed]] / 60)</f>
        <v>594366.19718309864</v>
      </c>
      <c r="S48" t="str">
        <f>IF(Table4[[#This Row],[avg_games_per_stream]] &gt; 2, "Variety", "Focused")</f>
        <v>Focused</v>
      </c>
      <c r="T48" s="4">
        <f>Table4[[#This Row],[avg_viewers_per_stream]] / Table4[[#This Row],[total_followers]]</f>
        <v>8.2854265402843602E-2</v>
      </c>
    </row>
    <row r="49" spans="1:20">
      <c r="A49">
        <v>49</v>
      </c>
      <c r="B49" t="s">
        <v>122</v>
      </c>
      <c r="C49" t="s">
        <v>3</v>
      </c>
      <c r="D49" t="s">
        <v>39</v>
      </c>
      <c r="E49" t="s">
        <v>123</v>
      </c>
      <c r="F49" t="s">
        <v>74</v>
      </c>
      <c r="G49" s="3">
        <v>8.3000000000000007</v>
      </c>
      <c r="H49">
        <v>4780</v>
      </c>
      <c r="I49">
        <v>1794</v>
      </c>
      <c r="J49">
        <v>1.1000000000000001</v>
      </c>
      <c r="K49">
        <v>10868</v>
      </c>
      <c r="L49" s="2">
        <v>583000</v>
      </c>
      <c r="M49" s="2">
        <v>21900000</v>
      </c>
      <c r="N49">
        <v>24</v>
      </c>
      <c r="O49">
        <v>4.0999999999999996</v>
      </c>
      <c r="P49" t="s">
        <v>19</v>
      </c>
      <c r="Q49" t="s">
        <v>14</v>
      </c>
      <c r="R49" s="2">
        <f>Table4[[#This Row],[total_followers]]/(Table4[[#This Row],[total_time_streamed]] / 60)</f>
        <v>3218.6234817813765</v>
      </c>
      <c r="S49" t="str">
        <f>IF(Table4[[#This Row],[avg_games_per_stream]] &gt; 2, "Variety", "Focused")</f>
        <v>Focused</v>
      </c>
      <c r="T49" s="4">
        <f>Table4[[#This Row],[avg_viewers_per_stream]] / Table4[[#This Row],[total_followers]]</f>
        <v>3.0771869639794167E-3</v>
      </c>
    </row>
    <row r="50" spans="1:20">
      <c r="A50">
        <v>50</v>
      </c>
      <c r="B50" t="s">
        <v>124</v>
      </c>
      <c r="C50" t="s">
        <v>7</v>
      </c>
      <c r="D50" t="s">
        <v>39</v>
      </c>
      <c r="E50" t="s">
        <v>40</v>
      </c>
      <c r="F50" t="s">
        <v>51</v>
      </c>
      <c r="G50" s="3">
        <v>4.7</v>
      </c>
      <c r="H50">
        <v>11592</v>
      </c>
      <c r="I50">
        <v>212445</v>
      </c>
      <c r="J50">
        <v>3.1</v>
      </c>
      <c r="K50">
        <v>6806</v>
      </c>
      <c r="L50" s="2">
        <v>15000000</v>
      </c>
      <c r="M50" s="2">
        <v>273000000</v>
      </c>
      <c r="N50">
        <v>616</v>
      </c>
      <c r="O50">
        <v>5</v>
      </c>
      <c r="P50" t="s">
        <v>14</v>
      </c>
      <c r="Q50" t="s">
        <v>19</v>
      </c>
      <c r="R50" s="2">
        <f>Table4[[#This Row],[total_followers]]/(Table4[[#This Row],[total_time_streamed]] / 60)</f>
        <v>132236.26212165735</v>
      </c>
      <c r="S50" t="str">
        <f>IF(Table4[[#This Row],[avg_games_per_stream]] &gt; 2, "Variety", "Focused")</f>
        <v>Variety</v>
      </c>
      <c r="T50" s="4">
        <f>Table4[[#This Row],[avg_viewers_per_stream]] / Table4[[#This Row],[total_followers]]</f>
        <v>1.4163E-2</v>
      </c>
    </row>
    <row r="51" spans="1:20">
      <c r="A51">
        <v>51</v>
      </c>
      <c r="B51" t="s">
        <v>125</v>
      </c>
      <c r="C51" t="s">
        <v>63</v>
      </c>
      <c r="D51" t="s">
        <v>39</v>
      </c>
      <c r="E51" t="s">
        <v>40</v>
      </c>
      <c r="F51" t="s">
        <v>85</v>
      </c>
      <c r="G51" s="3">
        <v>2.9</v>
      </c>
      <c r="H51">
        <v>3009</v>
      </c>
      <c r="I51">
        <v>0</v>
      </c>
      <c r="J51">
        <v>1.1000000000000001</v>
      </c>
      <c r="K51">
        <v>138</v>
      </c>
      <c r="L51" s="2">
        <v>1820000</v>
      </c>
      <c r="M51" s="2">
        <v>464</v>
      </c>
      <c r="N51">
        <v>14</v>
      </c>
      <c r="O51">
        <v>4.5</v>
      </c>
      <c r="P51" t="s">
        <v>14</v>
      </c>
      <c r="Q51" t="s">
        <v>14</v>
      </c>
      <c r="R51" s="2">
        <f>Table4[[#This Row],[total_followers]]/(Table4[[#This Row],[total_time_streamed]] / 60)</f>
        <v>791304.34782608703</v>
      </c>
      <c r="S51" t="str">
        <f>IF(Table4[[#This Row],[avg_games_per_stream]] &gt; 2, "Variety", "Focused")</f>
        <v>Focused</v>
      </c>
      <c r="T51" s="4">
        <f>Table4[[#This Row],[avg_viewers_per_stream]] / Table4[[#This Row],[total_followers]]</f>
        <v>0</v>
      </c>
    </row>
    <row r="52" spans="1:20">
      <c r="A52">
        <v>52</v>
      </c>
      <c r="B52" t="s">
        <v>126</v>
      </c>
      <c r="C52" t="s">
        <v>3</v>
      </c>
      <c r="D52" t="s">
        <v>39</v>
      </c>
      <c r="E52" t="s">
        <v>54</v>
      </c>
      <c r="F52" t="s">
        <v>56</v>
      </c>
      <c r="G52" s="3">
        <v>4.2</v>
      </c>
      <c r="H52">
        <v>405</v>
      </c>
      <c r="I52">
        <v>53836</v>
      </c>
      <c r="J52">
        <v>1.4</v>
      </c>
      <c r="K52">
        <v>44</v>
      </c>
      <c r="L52" s="2">
        <v>3970000</v>
      </c>
      <c r="M52" s="2">
        <v>52800000</v>
      </c>
      <c r="N52">
        <v>99</v>
      </c>
      <c r="O52">
        <v>2.7</v>
      </c>
      <c r="P52" t="s">
        <v>15</v>
      </c>
      <c r="Q52" t="s">
        <v>14</v>
      </c>
      <c r="R52" s="2">
        <f>Table4[[#This Row],[total_followers]]/(Table4[[#This Row],[total_time_streamed]] / 60)</f>
        <v>5413636.3636363642</v>
      </c>
      <c r="S52" t="str">
        <f>IF(Table4[[#This Row],[avg_games_per_stream]] &gt; 2, "Variety", "Focused")</f>
        <v>Focused</v>
      </c>
      <c r="T52" s="4">
        <f>Table4[[#This Row],[avg_viewers_per_stream]] / Table4[[#This Row],[total_followers]]</f>
        <v>1.3560705289672544E-2</v>
      </c>
    </row>
    <row r="53" spans="1:20">
      <c r="A53">
        <v>53</v>
      </c>
      <c r="B53" t="s">
        <v>127</v>
      </c>
      <c r="C53" t="s">
        <v>4</v>
      </c>
      <c r="D53" t="s">
        <v>58</v>
      </c>
      <c r="E53" t="s">
        <v>46</v>
      </c>
      <c r="F53" t="s">
        <v>40</v>
      </c>
      <c r="G53" s="3">
        <v>23.6</v>
      </c>
      <c r="H53">
        <v>5060</v>
      </c>
      <c r="I53">
        <v>72599</v>
      </c>
      <c r="J53">
        <v>1</v>
      </c>
      <c r="K53">
        <v>26839</v>
      </c>
      <c r="L53" s="2">
        <v>731000</v>
      </c>
      <c r="M53" s="2">
        <v>100000000</v>
      </c>
      <c r="N53">
        <v>7</v>
      </c>
      <c r="O53">
        <v>6.5</v>
      </c>
      <c r="P53" t="s">
        <v>18</v>
      </c>
      <c r="Q53" t="s">
        <v>19</v>
      </c>
      <c r="R53" s="2">
        <f>Table4[[#This Row],[total_followers]]/(Table4[[#This Row],[total_time_streamed]] / 60)</f>
        <v>1634.1890532434145</v>
      </c>
      <c r="S53" t="str">
        <f>IF(Table4[[#This Row],[avg_games_per_stream]] &gt; 2, "Variety", "Focused")</f>
        <v>Focused</v>
      </c>
      <c r="T53" s="4">
        <f>Table4[[#This Row],[avg_viewers_per_stream]] / Table4[[#This Row],[total_followers]]</f>
        <v>9.9314637482900134E-2</v>
      </c>
    </row>
    <row r="54" spans="1:20">
      <c r="A54">
        <v>54</v>
      </c>
      <c r="B54" t="s">
        <v>128</v>
      </c>
      <c r="C54" t="s">
        <v>6</v>
      </c>
      <c r="D54" t="s">
        <v>39</v>
      </c>
      <c r="E54" t="s">
        <v>40</v>
      </c>
      <c r="F54" t="s">
        <v>104</v>
      </c>
      <c r="G54" s="3">
        <v>6.2</v>
      </c>
      <c r="H54">
        <v>3446</v>
      </c>
      <c r="I54">
        <v>33501</v>
      </c>
      <c r="J54">
        <v>2</v>
      </c>
      <c r="K54">
        <v>6786</v>
      </c>
      <c r="L54" s="2">
        <v>3880000</v>
      </c>
      <c r="M54" s="2">
        <v>37800000</v>
      </c>
      <c r="N54">
        <v>75</v>
      </c>
      <c r="O54">
        <v>3.7</v>
      </c>
      <c r="P54" t="s">
        <v>16</v>
      </c>
      <c r="Q54" t="s">
        <v>14</v>
      </c>
      <c r="R54" s="2">
        <f>Table4[[#This Row],[total_followers]]/(Table4[[#This Row],[total_time_streamed]] / 60)</f>
        <v>34305.923961096378</v>
      </c>
      <c r="S54" t="str">
        <f>IF(Table4[[#This Row],[avg_games_per_stream]] &gt; 2, "Variety", "Focused")</f>
        <v>Focused</v>
      </c>
      <c r="T54" s="4">
        <f>Table4[[#This Row],[avg_viewers_per_stream]] / Table4[[#This Row],[total_followers]]</f>
        <v>8.6342783505154643E-3</v>
      </c>
    </row>
    <row r="55" spans="1:20">
      <c r="A55">
        <v>55</v>
      </c>
      <c r="B55" t="s">
        <v>129</v>
      </c>
      <c r="C55" t="s">
        <v>4</v>
      </c>
      <c r="D55" t="s">
        <v>39</v>
      </c>
      <c r="E55" t="s">
        <v>66</v>
      </c>
      <c r="F55" t="s">
        <v>40</v>
      </c>
      <c r="G55" s="3">
        <v>4.5</v>
      </c>
      <c r="H55">
        <v>125</v>
      </c>
      <c r="I55">
        <v>0</v>
      </c>
      <c r="J55">
        <v>1.8</v>
      </c>
      <c r="K55">
        <v>2057</v>
      </c>
      <c r="L55" s="2">
        <v>553000</v>
      </c>
      <c r="M55" s="2">
        <v>0</v>
      </c>
      <c r="N55">
        <v>28</v>
      </c>
      <c r="O55">
        <v>4.2</v>
      </c>
      <c r="P55" t="s">
        <v>19</v>
      </c>
      <c r="Q55" t="s">
        <v>14</v>
      </c>
      <c r="R55" s="2">
        <f>Table4[[#This Row],[total_followers]]/(Table4[[#This Row],[total_time_streamed]] / 60)</f>
        <v>16130.286825473991</v>
      </c>
      <c r="S55" t="str">
        <f>IF(Table4[[#This Row],[avg_games_per_stream]] &gt; 2, "Variety", "Focused")</f>
        <v>Focused</v>
      </c>
      <c r="T55" s="4">
        <f>Table4[[#This Row],[avg_viewers_per_stream]] / Table4[[#This Row],[total_followers]]</f>
        <v>0</v>
      </c>
    </row>
    <row r="56" spans="1:20">
      <c r="A56">
        <v>56</v>
      </c>
      <c r="B56" t="s">
        <v>130</v>
      </c>
      <c r="C56" t="s">
        <v>3</v>
      </c>
      <c r="D56" t="s">
        <v>39</v>
      </c>
      <c r="E56" t="s">
        <v>131</v>
      </c>
      <c r="F56" t="s">
        <v>132</v>
      </c>
      <c r="G56" s="3">
        <v>7.3</v>
      </c>
      <c r="H56">
        <v>4270</v>
      </c>
      <c r="I56">
        <v>4460</v>
      </c>
      <c r="J56">
        <v>1.3</v>
      </c>
      <c r="K56">
        <v>12373</v>
      </c>
      <c r="L56" s="2">
        <v>721000</v>
      </c>
      <c r="M56" s="2">
        <v>756000</v>
      </c>
      <c r="N56">
        <v>173</v>
      </c>
      <c r="O56">
        <v>4.8</v>
      </c>
      <c r="P56" t="s">
        <v>16</v>
      </c>
      <c r="Q56" t="s">
        <v>16</v>
      </c>
      <c r="R56" s="2">
        <f>Table4[[#This Row],[total_followers]]/(Table4[[#This Row],[total_time_streamed]] / 60)</f>
        <v>3496.3226380021015</v>
      </c>
      <c r="S56" t="str">
        <f>IF(Table4[[#This Row],[avg_games_per_stream]] &gt; 2, "Variety", "Focused")</f>
        <v>Focused</v>
      </c>
      <c r="T56" s="4">
        <f>Table4[[#This Row],[avg_viewers_per_stream]] / Table4[[#This Row],[total_followers]]</f>
        <v>6.185852981969487E-3</v>
      </c>
    </row>
    <row r="57" spans="1:20">
      <c r="A57">
        <v>57</v>
      </c>
      <c r="B57" t="s">
        <v>133</v>
      </c>
      <c r="C57" t="s">
        <v>6</v>
      </c>
      <c r="D57" t="s">
        <v>39</v>
      </c>
      <c r="E57" t="s">
        <v>40</v>
      </c>
      <c r="F57" t="s">
        <v>74</v>
      </c>
      <c r="G57" s="3">
        <v>5.8</v>
      </c>
      <c r="H57">
        <v>4221</v>
      </c>
      <c r="I57">
        <v>122314</v>
      </c>
      <c r="J57">
        <v>2.9</v>
      </c>
      <c r="K57">
        <v>11794</v>
      </c>
      <c r="L57" s="2">
        <v>7110000</v>
      </c>
      <c r="M57" s="2">
        <v>206000000</v>
      </c>
      <c r="N57">
        <v>906</v>
      </c>
      <c r="O57">
        <v>5.2</v>
      </c>
      <c r="P57" t="s">
        <v>20</v>
      </c>
      <c r="Q57" t="s">
        <v>18</v>
      </c>
      <c r="R57" s="2">
        <f>Table4[[#This Row],[total_followers]]/(Table4[[#This Row],[total_time_streamed]] / 60)</f>
        <v>36170.934373410208</v>
      </c>
      <c r="S57" t="str">
        <f>IF(Table4[[#This Row],[avg_games_per_stream]] &gt; 2, "Variety", "Focused")</f>
        <v>Variety</v>
      </c>
      <c r="T57" s="4">
        <f>Table4[[#This Row],[avg_viewers_per_stream]] / Table4[[#This Row],[total_followers]]</f>
        <v>1.7203094233473982E-2</v>
      </c>
    </row>
    <row r="58" spans="1:20">
      <c r="A58">
        <v>58</v>
      </c>
      <c r="B58" t="s">
        <v>134</v>
      </c>
      <c r="C58" t="s">
        <v>3</v>
      </c>
      <c r="D58" t="s">
        <v>58</v>
      </c>
      <c r="E58" t="s">
        <v>135</v>
      </c>
      <c r="G58" s="3">
        <v>5.9</v>
      </c>
      <c r="H58">
        <v>2796</v>
      </c>
      <c r="I58">
        <v>43529</v>
      </c>
      <c r="J58">
        <v>1</v>
      </c>
      <c r="K58">
        <v>1614</v>
      </c>
      <c r="L58" s="2">
        <v>752000</v>
      </c>
      <c r="M58" s="2">
        <v>11700000</v>
      </c>
      <c r="N58">
        <v>1</v>
      </c>
      <c r="O58">
        <v>1.5</v>
      </c>
      <c r="P58" t="s">
        <v>15</v>
      </c>
      <c r="Q58" t="s">
        <v>14</v>
      </c>
      <c r="R58" s="2">
        <f>Table4[[#This Row],[total_followers]]/(Table4[[#This Row],[total_time_streamed]] / 60)</f>
        <v>27955.390334572494</v>
      </c>
      <c r="S58" t="str">
        <f>IF(Table4[[#This Row],[avg_games_per_stream]] &gt; 2, "Variety", "Focused")</f>
        <v>Focused</v>
      </c>
      <c r="T58" s="4">
        <f>Table4[[#This Row],[avg_viewers_per_stream]] / Table4[[#This Row],[total_followers]]</f>
        <v>5.7884308510638298E-2</v>
      </c>
    </row>
    <row r="59" spans="1:20">
      <c r="A59">
        <v>59</v>
      </c>
      <c r="B59" t="s">
        <v>136</v>
      </c>
      <c r="C59" t="s">
        <v>3</v>
      </c>
      <c r="D59" t="s">
        <v>39</v>
      </c>
      <c r="E59" t="s">
        <v>54</v>
      </c>
      <c r="F59" t="s">
        <v>56</v>
      </c>
      <c r="G59" s="3">
        <v>6</v>
      </c>
      <c r="H59">
        <v>9870</v>
      </c>
      <c r="I59">
        <v>2700</v>
      </c>
      <c r="J59">
        <v>1.1000000000000001</v>
      </c>
      <c r="K59">
        <v>1967</v>
      </c>
      <c r="L59" s="2">
        <v>333000</v>
      </c>
      <c r="M59" s="2">
        <v>171000</v>
      </c>
      <c r="N59">
        <v>13</v>
      </c>
      <c r="O59">
        <v>0.9</v>
      </c>
      <c r="P59" t="s">
        <v>20</v>
      </c>
      <c r="Q59" t="s">
        <v>14</v>
      </c>
      <c r="R59" s="2">
        <f>Table4[[#This Row],[total_followers]]/(Table4[[#This Row],[total_time_streamed]] / 60)</f>
        <v>10157.600406710728</v>
      </c>
      <c r="S59" t="str">
        <f>IF(Table4[[#This Row],[avg_games_per_stream]] &gt; 2, "Variety", "Focused")</f>
        <v>Focused</v>
      </c>
      <c r="T59" s="4">
        <f>Table4[[#This Row],[avg_viewers_per_stream]] / Table4[[#This Row],[total_followers]]</f>
        <v>8.1081081081081086E-3</v>
      </c>
    </row>
    <row r="60" spans="1:20">
      <c r="A60">
        <v>60</v>
      </c>
      <c r="B60" t="s">
        <v>137</v>
      </c>
      <c r="C60" t="s">
        <v>91</v>
      </c>
      <c r="D60" t="s">
        <v>39</v>
      </c>
      <c r="E60" t="s">
        <v>40</v>
      </c>
      <c r="G60" s="3">
        <v>6.2</v>
      </c>
      <c r="H60">
        <v>5017</v>
      </c>
      <c r="I60">
        <v>0</v>
      </c>
      <c r="J60">
        <v>1</v>
      </c>
      <c r="K60">
        <v>1910</v>
      </c>
      <c r="L60" s="2">
        <v>158000</v>
      </c>
      <c r="M60" s="2">
        <v>0</v>
      </c>
      <c r="N60">
        <v>1</v>
      </c>
      <c r="O60">
        <v>0.6</v>
      </c>
      <c r="P60" t="s">
        <v>18</v>
      </c>
      <c r="Q60" t="s">
        <v>14</v>
      </c>
      <c r="R60" s="2">
        <f>Table4[[#This Row],[total_followers]]/(Table4[[#This Row],[total_time_streamed]] / 60)</f>
        <v>4963.3507853403144</v>
      </c>
      <c r="S60" t="str">
        <f>IF(Table4[[#This Row],[avg_games_per_stream]] &gt; 2, "Variety", "Focused")</f>
        <v>Focused</v>
      </c>
      <c r="T60" s="4">
        <f>Table4[[#This Row],[avg_viewers_per_stream]] / Table4[[#This Row],[total_followers]]</f>
        <v>0</v>
      </c>
    </row>
    <row r="61" spans="1:20">
      <c r="A61">
        <v>61</v>
      </c>
      <c r="B61" t="s">
        <v>138</v>
      </c>
      <c r="C61" t="s">
        <v>7</v>
      </c>
      <c r="D61" t="s">
        <v>39</v>
      </c>
      <c r="E61" t="s">
        <v>66</v>
      </c>
      <c r="F61" t="s">
        <v>53</v>
      </c>
      <c r="G61" s="3">
        <v>4.5</v>
      </c>
      <c r="H61">
        <v>6163</v>
      </c>
      <c r="I61">
        <v>11542</v>
      </c>
      <c r="J61">
        <v>1.5</v>
      </c>
      <c r="K61">
        <v>2480</v>
      </c>
      <c r="L61" s="2">
        <v>335000</v>
      </c>
      <c r="M61" s="2">
        <v>759000</v>
      </c>
      <c r="N61">
        <v>11</v>
      </c>
      <c r="O61">
        <v>0.2</v>
      </c>
      <c r="P61" t="s">
        <v>17</v>
      </c>
      <c r="Q61" t="s">
        <v>14</v>
      </c>
      <c r="R61" s="2">
        <f>Table4[[#This Row],[total_followers]]/(Table4[[#This Row],[total_time_streamed]] / 60)</f>
        <v>8104.8387096774186</v>
      </c>
      <c r="S61" t="str">
        <f>IF(Table4[[#This Row],[avg_games_per_stream]] &gt; 2, "Variety", "Focused")</f>
        <v>Focused</v>
      </c>
      <c r="T61" s="4">
        <f>Table4[[#This Row],[avg_viewers_per_stream]] / Table4[[#This Row],[total_followers]]</f>
        <v>3.4453731343283583E-2</v>
      </c>
    </row>
    <row r="62" spans="1:20">
      <c r="A62">
        <v>62</v>
      </c>
      <c r="B62" t="s">
        <v>139</v>
      </c>
      <c r="C62" t="s">
        <v>3</v>
      </c>
      <c r="D62" t="s">
        <v>39</v>
      </c>
      <c r="E62" t="s">
        <v>56</v>
      </c>
      <c r="F62" t="s">
        <v>40</v>
      </c>
      <c r="G62" s="3">
        <v>6.4</v>
      </c>
      <c r="H62">
        <v>1309</v>
      </c>
      <c r="I62">
        <v>279</v>
      </c>
      <c r="J62">
        <v>1.2</v>
      </c>
      <c r="K62">
        <v>6041</v>
      </c>
      <c r="L62" s="2">
        <v>1260000</v>
      </c>
      <c r="M62" s="2">
        <v>2690000</v>
      </c>
      <c r="N62">
        <v>40</v>
      </c>
      <c r="O62">
        <v>4.3</v>
      </c>
      <c r="P62" t="s">
        <v>14</v>
      </c>
      <c r="Q62" t="s">
        <v>18</v>
      </c>
      <c r="R62" s="2">
        <f>Table4[[#This Row],[total_followers]]/(Table4[[#This Row],[total_time_streamed]] / 60)</f>
        <v>12514.484356894553</v>
      </c>
      <c r="S62" t="str">
        <f>IF(Table4[[#This Row],[avg_games_per_stream]] &gt; 2, "Variety", "Focused")</f>
        <v>Focused</v>
      </c>
      <c r="T62" s="4">
        <f>Table4[[#This Row],[avg_viewers_per_stream]] / Table4[[#This Row],[total_followers]]</f>
        <v>2.2142857142857142E-4</v>
      </c>
    </row>
    <row r="63" spans="1:20">
      <c r="A63">
        <v>63</v>
      </c>
      <c r="B63" t="s">
        <v>140</v>
      </c>
      <c r="C63" t="s">
        <v>3</v>
      </c>
      <c r="D63" t="s">
        <v>39</v>
      </c>
      <c r="E63" t="s">
        <v>68</v>
      </c>
      <c r="F63" t="s">
        <v>74</v>
      </c>
      <c r="G63" s="3">
        <v>6.3</v>
      </c>
      <c r="H63">
        <v>1281</v>
      </c>
      <c r="I63">
        <v>44445</v>
      </c>
      <c r="J63">
        <v>1</v>
      </c>
      <c r="K63">
        <v>10637</v>
      </c>
      <c r="L63" s="2">
        <v>2029999</v>
      </c>
      <c r="M63" s="2">
        <v>70500000</v>
      </c>
      <c r="N63">
        <v>36</v>
      </c>
      <c r="O63">
        <v>4.9000000000000004</v>
      </c>
      <c r="P63" t="s">
        <v>20</v>
      </c>
      <c r="Q63" t="s">
        <v>14</v>
      </c>
      <c r="R63" s="2">
        <f>Table4[[#This Row],[total_followers]]/(Table4[[#This Row],[total_time_streamed]] / 60)</f>
        <v>11450.591332142521</v>
      </c>
      <c r="S63" t="str">
        <f>IF(Table4[[#This Row],[avg_games_per_stream]] &gt; 2, "Variety", "Focused")</f>
        <v>Focused</v>
      </c>
      <c r="T63" s="4">
        <f>Table4[[#This Row],[avg_viewers_per_stream]] / Table4[[#This Row],[total_followers]]</f>
        <v>2.1894099455221406E-2</v>
      </c>
    </row>
    <row r="64" spans="1:20">
      <c r="A64">
        <v>64</v>
      </c>
      <c r="B64" t="s">
        <v>141</v>
      </c>
      <c r="C64" t="s">
        <v>3</v>
      </c>
      <c r="D64" t="s">
        <v>39</v>
      </c>
      <c r="E64" t="s">
        <v>40</v>
      </c>
      <c r="F64" t="s">
        <v>53</v>
      </c>
      <c r="G64" s="3">
        <v>5.5</v>
      </c>
      <c r="H64">
        <v>1443</v>
      </c>
      <c r="I64">
        <v>71268</v>
      </c>
      <c r="J64">
        <v>2</v>
      </c>
      <c r="K64">
        <v>9697</v>
      </c>
      <c r="L64" s="2">
        <v>2080000</v>
      </c>
      <c r="M64" s="2">
        <v>103000000</v>
      </c>
      <c r="N64">
        <v>323</v>
      </c>
      <c r="O64">
        <v>4.7</v>
      </c>
      <c r="P64" t="s">
        <v>19</v>
      </c>
      <c r="Q64" t="s">
        <v>16</v>
      </c>
      <c r="R64" s="2">
        <f>Table4[[#This Row],[total_followers]]/(Table4[[#This Row],[total_time_streamed]] / 60)</f>
        <v>12869.959781375683</v>
      </c>
      <c r="S64" t="str">
        <f>IF(Table4[[#This Row],[avg_games_per_stream]] &gt; 2, "Variety", "Focused")</f>
        <v>Focused</v>
      </c>
      <c r="T64" s="4">
        <f>Table4[[#This Row],[avg_viewers_per_stream]] / Table4[[#This Row],[total_followers]]</f>
        <v>3.4263461538461541E-2</v>
      </c>
    </row>
    <row r="65" spans="1:20">
      <c r="A65">
        <v>65</v>
      </c>
      <c r="B65" t="s">
        <v>142</v>
      </c>
      <c r="C65" t="s">
        <v>5</v>
      </c>
      <c r="D65" t="s">
        <v>39</v>
      </c>
      <c r="E65" t="s">
        <v>54</v>
      </c>
      <c r="F65" t="s">
        <v>40</v>
      </c>
      <c r="G65" s="3">
        <v>5.0999999999999996</v>
      </c>
      <c r="H65">
        <v>9901</v>
      </c>
      <c r="I65">
        <v>49751</v>
      </c>
      <c r="J65">
        <v>1</v>
      </c>
      <c r="K65">
        <v>210</v>
      </c>
      <c r="L65" s="2">
        <v>40400</v>
      </c>
      <c r="M65" s="2">
        <v>201000</v>
      </c>
      <c r="N65">
        <v>3</v>
      </c>
      <c r="O65">
        <v>0</v>
      </c>
      <c r="P65" t="s">
        <v>18</v>
      </c>
      <c r="Q65" t="s">
        <v>17</v>
      </c>
      <c r="R65" s="2">
        <f>Table4[[#This Row],[total_followers]]/(Table4[[#This Row],[total_time_streamed]] / 60)</f>
        <v>11542.857142857143</v>
      </c>
      <c r="S65" t="str">
        <f>IF(Table4[[#This Row],[avg_games_per_stream]] &gt; 2, "Variety", "Focused")</f>
        <v>Focused</v>
      </c>
      <c r="T65" s="4">
        <f>Table4[[#This Row],[avg_viewers_per_stream]] / Table4[[#This Row],[total_followers]]</f>
        <v>1.231460396039604</v>
      </c>
    </row>
    <row r="66" spans="1:20">
      <c r="A66">
        <v>66</v>
      </c>
      <c r="B66" t="s">
        <v>143</v>
      </c>
      <c r="C66" t="s">
        <v>7</v>
      </c>
      <c r="D66" t="s">
        <v>39</v>
      </c>
      <c r="E66" t="s">
        <v>40</v>
      </c>
      <c r="F66" t="s">
        <v>51</v>
      </c>
      <c r="G66" s="3">
        <v>3.7</v>
      </c>
      <c r="H66">
        <v>11093</v>
      </c>
      <c r="I66">
        <v>38471</v>
      </c>
      <c r="J66">
        <v>2.5</v>
      </c>
      <c r="K66">
        <v>3404</v>
      </c>
      <c r="L66" s="2">
        <v>9610000</v>
      </c>
      <c r="M66" s="2">
        <v>33299999</v>
      </c>
      <c r="N66">
        <v>328</v>
      </c>
      <c r="O66">
        <v>4.2</v>
      </c>
      <c r="P66" t="s">
        <v>19</v>
      </c>
      <c r="Q66" t="s">
        <v>17</v>
      </c>
      <c r="R66" s="2">
        <f>Table4[[#This Row],[total_followers]]/(Table4[[#This Row],[total_time_streamed]] / 60)</f>
        <v>169388.95417156286</v>
      </c>
      <c r="S66" t="str">
        <f>IF(Table4[[#This Row],[avg_games_per_stream]] &gt; 2, "Variety", "Focused")</f>
        <v>Variety</v>
      </c>
      <c r="T66" s="4">
        <f>Table4[[#This Row],[avg_viewers_per_stream]] / Table4[[#This Row],[total_followers]]</f>
        <v>4.003225806451613E-3</v>
      </c>
    </row>
    <row r="67" spans="1:20">
      <c r="A67">
        <v>67</v>
      </c>
      <c r="B67" t="s">
        <v>144</v>
      </c>
      <c r="C67" t="s">
        <v>3</v>
      </c>
      <c r="D67" t="s">
        <v>39</v>
      </c>
      <c r="E67" t="s">
        <v>66</v>
      </c>
      <c r="F67" t="s">
        <v>145</v>
      </c>
      <c r="G67" s="3">
        <v>4.8</v>
      </c>
      <c r="H67">
        <v>1029</v>
      </c>
      <c r="I67">
        <v>3480</v>
      </c>
      <c r="J67">
        <v>1.7</v>
      </c>
      <c r="K67">
        <v>4668</v>
      </c>
      <c r="L67" s="2">
        <v>935000</v>
      </c>
      <c r="M67" s="2">
        <v>316000</v>
      </c>
      <c r="N67">
        <v>80</v>
      </c>
      <c r="O67">
        <v>5.0999999999999996</v>
      </c>
      <c r="P67" t="s">
        <v>18</v>
      </c>
      <c r="Q67" t="s">
        <v>14</v>
      </c>
      <c r="R67" s="2">
        <f>Table4[[#This Row],[total_followers]]/(Table4[[#This Row],[total_time_streamed]] / 60)</f>
        <v>12017.994858611826</v>
      </c>
      <c r="S67" t="str">
        <f>IF(Table4[[#This Row],[avg_games_per_stream]] &gt; 2, "Variety", "Focused")</f>
        <v>Focused</v>
      </c>
      <c r="T67" s="4">
        <f>Table4[[#This Row],[avg_viewers_per_stream]] / Table4[[#This Row],[total_followers]]</f>
        <v>3.7219251336898396E-3</v>
      </c>
    </row>
    <row r="68" spans="1:20">
      <c r="A68">
        <v>68</v>
      </c>
      <c r="B68" t="s">
        <v>146</v>
      </c>
      <c r="C68" t="s">
        <v>3</v>
      </c>
      <c r="D68" t="s">
        <v>39</v>
      </c>
      <c r="E68" t="s">
        <v>109</v>
      </c>
      <c r="F68" t="s">
        <v>88</v>
      </c>
      <c r="G68" s="3">
        <v>9.1</v>
      </c>
      <c r="H68">
        <v>8000</v>
      </c>
      <c r="I68">
        <v>39761</v>
      </c>
      <c r="J68">
        <v>1.2</v>
      </c>
      <c r="K68">
        <v>14685</v>
      </c>
      <c r="L68" s="2">
        <v>1260000</v>
      </c>
      <c r="M68" s="2">
        <v>62700000</v>
      </c>
      <c r="N68">
        <v>62</v>
      </c>
      <c r="O68">
        <v>6.8</v>
      </c>
      <c r="P68" t="s">
        <v>16</v>
      </c>
      <c r="Q68" t="s">
        <v>18</v>
      </c>
      <c r="R68" s="2">
        <f>Table4[[#This Row],[total_followers]]/(Table4[[#This Row],[total_time_streamed]] / 60)</f>
        <v>5148.1103166496423</v>
      </c>
      <c r="S68" t="str">
        <f>IF(Table4[[#This Row],[avg_games_per_stream]] &gt; 2, "Variety", "Focused")</f>
        <v>Focused</v>
      </c>
      <c r="T68" s="4">
        <f>Table4[[#This Row],[avg_viewers_per_stream]] / Table4[[#This Row],[total_followers]]</f>
        <v>3.1556349206349206E-2</v>
      </c>
    </row>
    <row r="69" spans="1:20">
      <c r="A69">
        <v>69</v>
      </c>
      <c r="B69" t="s">
        <v>147</v>
      </c>
      <c r="C69" t="s">
        <v>3</v>
      </c>
      <c r="D69" t="s">
        <v>39</v>
      </c>
      <c r="E69" t="s">
        <v>40</v>
      </c>
      <c r="F69" t="s">
        <v>53</v>
      </c>
      <c r="G69" s="3">
        <v>4.0999999999999996</v>
      </c>
      <c r="H69">
        <v>5500</v>
      </c>
      <c r="I69">
        <v>29722</v>
      </c>
      <c r="J69">
        <v>1.4</v>
      </c>
      <c r="K69">
        <v>694</v>
      </c>
      <c r="L69" s="2">
        <v>1100000</v>
      </c>
      <c r="M69" s="2">
        <v>54700000</v>
      </c>
      <c r="N69">
        <v>161</v>
      </c>
      <c r="O69">
        <v>4.3</v>
      </c>
      <c r="P69" t="s">
        <v>15</v>
      </c>
      <c r="Q69" t="s">
        <v>15</v>
      </c>
      <c r="R69" s="2">
        <f>Table4[[#This Row],[total_followers]]/(Table4[[#This Row],[total_time_streamed]] / 60)</f>
        <v>95100.864553314124</v>
      </c>
      <c r="S69" t="str">
        <f>IF(Table4[[#This Row],[avg_games_per_stream]] &gt; 2, "Variety", "Focused")</f>
        <v>Focused</v>
      </c>
      <c r="T69" s="4">
        <f>Table4[[#This Row],[avg_viewers_per_stream]] / Table4[[#This Row],[total_followers]]</f>
        <v>2.7019999999999999E-2</v>
      </c>
    </row>
    <row r="70" spans="1:20">
      <c r="A70">
        <v>70</v>
      </c>
      <c r="B70" t="s">
        <v>148</v>
      </c>
      <c r="C70" t="s">
        <v>6</v>
      </c>
      <c r="D70" t="s">
        <v>39</v>
      </c>
      <c r="E70" t="s">
        <v>40</v>
      </c>
      <c r="F70" t="s">
        <v>66</v>
      </c>
      <c r="G70" s="3">
        <v>4.3</v>
      </c>
      <c r="H70">
        <v>6750</v>
      </c>
      <c r="I70">
        <v>1520</v>
      </c>
      <c r="J70">
        <v>2.4</v>
      </c>
      <c r="K70">
        <v>4065</v>
      </c>
      <c r="L70" s="2">
        <v>612000</v>
      </c>
      <c r="M70" s="2">
        <v>138000</v>
      </c>
      <c r="N70">
        <v>219</v>
      </c>
      <c r="O70">
        <v>6.7</v>
      </c>
      <c r="P70" t="s">
        <v>19</v>
      </c>
      <c r="Q70" t="s">
        <v>18</v>
      </c>
      <c r="R70" s="2">
        <f>Table4[[#This Row],[total_followers]]/(Table4[[#This Row],[total_time_streamed]] / 60)</f>
        <v>9033.210332103321</v>
      </c>
      <c r="S70" t="str">
        <f>IF(Table4[[#This Row],[avg_games_per_stream]] &gt; 2, "Variety", "Focused")</f>
        <v>Variety</v>
      </c>
      <c r="T70" s="4">
        <f>Table4[[#This Row],[avg_viewers_per_stream]] / Table4[[#This Row],[total_followers]]</f>
        <v>2.4836601307189543E-3</v>
      </c>
    </row>
    <row r="71" spans="1:20">
      <c r="A71">
        <v>71</v>
      </c>
      <c r="B71" t="s">
        <v>149</v>
      </c>
      <c r="C71" t="s">
        <v>3</v>
      </c>
      <c r="D71" t="s">
        <v>39</v>
      </c>
      <c r="E71" t="s">
        <v>46</v>
      </c>
      <c r="F71" t="s">
        <v>150</v>
      </c>
      <c r="G71" s="3">
        <v>7.7</v>
      </c>
      <c r="H71">
        <v>303</v>
      </c>
      <c r="I71">
        <v>178397</v>
      </c>
      <c r="J71">
        <v>1.3</v>
      </c>
      <c r="K71">
        <v>14679</v>
      </c>
      <c r="L71" s="2">
        <v>5310000</v>
      </c>
      <c r="M71" s="2">
        <v>301000000</v>
      </c>
      <c r="N71">
        <v>187</v>
      </c>
      <c r="O71">
        <v>4.8</v>
      </c>
      <c r="P71" t="s">
        <v>19</v>
      </c>
      <c r="Q71" t="s">
        <v>17</v>
      </c>
      <c r="R71" s="2">
        <f>Table4[[#This Row],[total_followers]]/(Table4[[#This Row],[total_time_streamed]] / 60)</f>
        <v>21704.475781729001</v>
      </c>
      <c r="S71" t="str">
        <f>IF(Table4[[#This Row],[avg_games_per_stream]] &gt; 2, "Variety", "Focused")</f>
        <v>Focused</v>
      </c>
      <c r="T71" s="4">
        <f>Table4[[#This Row],[avg_viewers_per_stream]] / Table4[[#This Row],[total_followers]]</f>
        <v>3.359642184557439E-2</v>
      </c>
    </row>
    <row r="72" spans="1:20">
      <c r="A72">
        <v>72</v>
      </c>
      <c r="B72" t="s">
        <v>151</v>
      </c>
      <c r="C72" t="s">
        <v>5</v>
      </c>
      <c r="D72" t="s">
        <v>58</v>
      </c>
      <c r="E72" t="s">
        <v>54</v>
      </c>
      <c r="F72" t="s">
        <v>12</v>
      </c>
      <c r="G72" s="3">
        <v>7.5</v>
      </c>
      <c r="H72">
        <v>1378</v>
      </c>
      <c r="I72">
        <v>5846</v>
      </c>
      <c r="J72">
        <v>1</v>
      </c>
      <c r="K72">
        <v>2985</v>
      </c>
      <c r="L72" s="2">
        <v>554000</v>
      </c>
      <c r="M72" s="2">
        <v>23400000</v>
      </c>
      <c r="N72">
        <v>2</v>
      </c>
      <c r="O72">
        <v>1.9</v>
      </c>
      <c r="P72" t="s">
        <v>14</v>
      </c>
      <c r="Q72" t="s">
        <v>15</v>
      </c>
      <c r="R72" s="2">
        <f>Table4[[#This Row],[total_followers]]/(Table4[[#This Row],[total_time_streamed]] / 60)</f>
        <v>11135.678391959798</v>
      </c>
      <c r="S72" t="str">
        <f>IF(Table4[[#This Row],[avg_games_per_stream]] &gt; 2, "Variety", "Focused")</f>
        <v>Focused</v>
      </c>
      <c r="T72" s="4">
        <f>Table4[[#This Row],[avg_viewers_per_stream]] / Table4[[#This Row],[total_followers]]</f>
        <v>1.0552346570397112E-2</v>
      </c>
    </row>
    <row r="73" spans="1:20">
      <c r="A73">
        <v>73</v>
      </c>
      <c r="B73" t="s">
        <v>152</v>
      </c>
      <c r="C73" t="s">
        <v>63</v>
      </c>
      <c r="D73" t="s">
        <v>39</v>
      </c>
      <c r="E73" t="s">
        <v>40</v>
      </c>
      <c r="F73" t="s">
        <v>56</v>
      </c>
      <c r="G73" s="3">
        <v>4.9000000000000004</v>
      </c>
      <c r="H73">
        <v>1533</v>
      </c>
      <c r="I73">
        <v>60566</v>
      </c>
      <c r="J73">
        <v>1.8</v>
      </c>
      <c r="K73">
        <v>8865</v>
      </c>
      <c r="L73" s="2">
        <v>2900000</v>
      </c>
      <c r="M73" s="2">
        <v>114000000</v>
      </c>
      <c r="N73">
        <v>482</v>
      </c>
      <c r="O73">
        <v>4.7</v>
      </c>
      <c r="P73" t="s">
        <v>20</v>
      </c>
      <c r="Q73" t="s">
        <v>19</v>
      </c>
      <c r="R73" s="2">
        <f>Table4[[#This Row],[total_followers]]/(Table4[[#This Row],[total_time_streamed]] / 60)</f>
        <v>19627.749576988157</v>
      </c>
      <c r="S73" t="str">
        <f>IF(Table4[[#This Row],[avg_games_per_stream]] &gt; 2, "Variety", "Focused")</f>
        <v>Focused</v>
      </c>
      <c r="T73" s="4">
        <f>Table4[[#This Row],[avg_viewers_per_stream]] / Table4[[#This Row],[total_followers]]</f>
        <v>2.0884827586206897E-2</v>
      </c>
    </row>
    <row r="74" spans="1:20">
      <c r="A74">
        <v>74</v>
      </c>
      <c r="B74" t="s">
        <v>153</v>
      </c>
      <c r="C74" t="s">
        <v>61</v>
      </c>
      <c r="D74" t="s">
        <v>39</v>
      </c>
      <c r="E74" t="s">
        <v>46</v>
      </c>
      <c r="F74" t="s">
        <v>54</v>
      </c>
      <c r="G74" s="3">
        <v>7.6</v>
      </c>
      <c r="H74">
        <v>1520</v>
      </c>
      <c r="I74">
        <v>23556</v>
      </c>
      <c r="J74">
        <v>1.2</v>
      </c>
      <c r="K74">
        <v>19176</v>
      </c>
      <c r="L74" s="2">
        <v>679000</v>
      </c>
      <c r="M74" s="2">
        <v>101000000</v>
      </c>
      <c r="N74">
        <v>101</v>
      </c>
      <c r="O74">
        <v>6.5</v>
      </c>
      <c r="P74" t="s">
        <v>19</v>
      </c>
      <c r="Q74" t="s">
        <v>14</v>
      </c>
      <c r="R74" s="2">
        <f>Table4[[#This Row],[total_followers]]/(Table4[[#This Row],[total_time_streamed]] / 60)</f>
        <v>2124.5306633291611</v>
      </c>
      <c r="S74" t="str">
        <f>IF(Table4[[#This Row],[avg_games_per_stream]] &gt; 2, "Variety", "Focused")</f>
        <v>Focused</v>
      </c>
      <c r="T74" s="4">
        <f>Table4[[#This Row],[avg_viewers_per_stream]] / Table4[[#This Row],[total_followers]]</f>
        <v>3.4692194403534611E-2</v>
      </c>
    </row>
    <row r="75" spans="1:20">
      <c r="A75">
        <v>75</v>
      </c>
      <c r="B75" t="s">
        <v>154</v>
      </c>
      <c r="C75" t="s">
        <v>3</v>
      </c>
      <c r="D75" t="s">
        <v>39</v>
      </c>
      <c r="E75" t="s">
        <v>40</v>
      </c>
      <c r="F75" t="s">
        <v>51</v>
      </c>
      <c r="G75" s="3">
        <v>6.2</v>
      </c>
      <c r="H75">
        <v>5020</v>
      </c>
      <c r="I75">
        <v>51554</v>
      </c>
      <c r="J75">
        <v>2.7</v>
      </c>
      <c r="K75">
        <v>14686</v>
      </c>
      <c r="L75" s="2">
        <v>1750000</v>
      </c>
      <c r="M75" s="2">
        <v>171000000</v>
      </c>
      <c r="N75">
        <v>1334</v>
      </c>
      <c r="O75">
        <v>6.1</v>
      </c>
      <c r="P75" t="s">
        <v>19</v>
      </c>
      <c r="Q75" t="s">
        <v>14</v>
      </c>
      <c r="R75" s="2">
        <f>Table4[[#This Row],[total_followers]]/(Table4[[#This Row],[total_time_streamed]] / 60)</f>
        <v>7149.6663489037173</v>
      </c>
      <c r="S75" t="str">
        <f>IF(Table4[[#This Row],[avg_games_per_stream]] &gt; 2, "Variety", "Focused")</f>
        <v>Variety</v>
      </c>
      <c r="T75" s="4">
        <f>Table4[[#This Row],[avg_viewers_per_stream]] / Table4[[#This Row],[total_followers]]</f>
        <v>2.945942857142857E-2</v>
      </c>
    </row>
    <row r="76" spans="1:20">
      <c r="A76">
        <v>76</v>
      </c>
      <c r="B76" t="s">
        <v>155</v>
      </c>
      <c r="C76" t="s">
        <v>3</v>
      </c>
      <c r="D76" t="s">
        <v>58</v>
      </c>
      <c r="E76" t="s">
        <v>156</v>
      </c>
      <c r="F76" t="s">
        <v>157</v>
      </c>
      <c r="G76" s="3">
        <v>4.8</v>
      </c>
      <c r="H76">
        <v>7474</v>
      </c>
      <c r="I76">
        <v>129293</v>
      </c>
      <c r="J76">
        <v>1</v>
      </c>
      <c r="K76">
        <v>2203</v>
      </c>
      <c r="L76" s="2">
        <v>3520000</v>
      </c>
      <c r="M76" s="2">
        <v>63100000</v>
      </c>
      <c r="N76">
        <v>10</v>
      </c>
      <c r="O76">
        <v>1.2</v>
      </c>
      <c r="P76" t="s">
        <v>18</v>
      </c>
      <c r="Q76" t="s">
        <v>20</v>
      </c>
      <c r="R76" s="2">
        <f>Table4[[#This Row],[total_followers]]/(Table4[[#This Row],[total_time_streamed]] / 60)</f>
        <v>95869.269178393093</v>
      </c>
      <c r="S76" t="str">
        <f>IF(Table4[[#This Row],[avg_games_per_stream]] &gt; 2, "Variety", "Focused")</f>
        <v>Focused</v>
      </c>
      <c r="T76" s="4">
        <f>Table4[[#This Row],[avg_viewers_per_stream]] / Table4[[#This Row],[total_followers]]</f>
        <v>3.6730965909090911E-2</v>
      </c>
    </row>
    <row r="77" spans="1:20">
      <c r="A77">
        <v>77</v>
      </c>
      <c r="B77" t="s">
        <v>158</v>
      </c>
      <c r="C77" t="s">
        <v>7</v>
      </c>
      <c r="D77" t="s">
        <v>39</v>
      </c>
      <c r="E77" t="s">
        <v>40</v>
      </c>
      <c r="F77" t="s">
        <v>66</v>
      </c>
      <c r="G77" s="3">
        <v>3.6</v>
      </c>
      <c r="H77">
        <v>9210</v>
      </c>
      <c r="I77">
        <v>880</v>
      </c>
      <c r="J77">
        <v>1.5</v>
      </c>
      <c r="K77">
        <v>2652</v>
      </c>
      <c r="L77" s="2">
        <v>723000</v>
      </c>
      <c r="M77" s="2">
        <v>68800</v>
      </c>
      <c r="N77">
        <v>55</v>
      </c>
      <c r="O77">
        <v>5.6</v>
      </c>
      <c r="P77" t="s">
        <v>19</v>
      </c>
      <c r="Q77" t="s">
        <v>16</v>
      </c>
      <c r="R77" s="2">
        <f>Table4[[#This Row],[total_followers]]/(Table4[[#This Row],[total_time_streamed]] / 60)</f>
        <v>16357.466063348415</v>
      </c>
      <c r="S77" t="str">
        <f>IF(Table4[[#This Row],[avg_games_per_stream]] &gt; 2, "Variety", "Focused")</f>
        <v>Focused</v>
      </c>
      <c r="T77" s="4">
        <f>Table4[[#This Row],[avg_viewers_per_stream]] / Table4[[#This Row],[total_followers]]</f>
        <v>1.2171507607192254E-3</v>
      </c>
    </row>
    <row r="78" spans="1:20">
      <c r="A78">
        <v>78</v>
      </c>
      <c r="B78" t="s">
        <v>159</v>
      </c>
      <c r="C78" t="s">
        <v>160</v>
      </c>
      <c r="D78" t="s">
        <v>39</v>
      </c>
      <c r="E78" t="s">
        <v>40</v>
      </c>
      <c r="F78" t="s">
        <v>66</v>
      </c>
      <c r="G78" s="3">
        <v>5.8</v>
      </c>
      <c r="H78">
        <v>2324</v>
      </c>
      <c r="I78">
        <v>16052</v>
      </c>
      <c r="J78">
        <v>2.2000000000000002</v>
      </c>
      <c r="K78">
        <v>3025</v>
      </c>
      <c r="L78" s="2">
        <v>1150000</v>
      </c>
      <c r="M78" s="2">
        <v>9490000</v>
      </c>
      <c r="N78">
        <v>205</v>
      </c>
      <c r="O78">
        <v>2.9</v>
      </c>
      <c r="P78" t="s">
        <v>17</v>
      </c>
      <c r="Q78" t="s">
        <v>16</v>
      </c>
      <c r="R78" s="2">
        <f>Table4[[#This Row],[total_followers]]/(Table4[[#This Row],[total_time_streamed]] / 60)</f>
        <v>22809.917355371901</v>
      </c>
      <c r="S78" t="str">
        <f>IF(Table4[[#This Row],[avg_games_per_stream]] &gt; 2, "Variety", "Focused")</f>
        <v>Variety</v>
      </c>
      <c r="T78" s="4">
        <f>Table4[[#This Row],[avg_viewers_per_stream]] / Table4[[#This Row],[total_followers]]</f>
        <v>1.3958260869565217E-2</v>
      </c>
    </row>
    <row r="79" spans="1:20">
      <c r="A79">
        <v>79</v>
      </c>
      <c r="B79" t="s">
        <v>161</v>
      </c>
      <c r="C79" t="s">
        <v>3</v>
      </c>
      <c r="D79" t="s">
        <v>39</v>
      </c>
      <c r="E79" t="s">
        <v>54</v>
      </c>
      <c r="F79" t="s">
        <v>56</v>
      </c>
      <c r="G79" s="3">
        <v>5.8</v>
      </c>
      <c r="H79">
        <v>7410</v>
      </c>
      <c r="I79">
        <v>11273</v>
      </c>
      <c r="J79">
        <v>1.3</v>
      </c>
      <c r="K79">
        <v>856</v>
      </c>
      <c r="L79" s="2">
        <v>1140000</v>
      </c>
      <c r="M79" s="2">
        <v>17400000</v>
      </c>
      <c r="N79">
        <v>72</v>
      </c>
      <c r="O79">
        <v>4.2</v>
      </c>
      <c r="P79" t="s">
        <v>17</v>
      </c>
      <c r="Q79" t="s">
        <v>14</v>
      </c>
      <c r="R79" s="2">
        <f>Table4[[#This Row],[total_followers]]/(Table4[[#This Row],[total_time_streamed]] / 60)</f>
        <v>79906.542056074759</v>
      </c>
      <c r="S79" t="str">
        <f>IF(Table4[[#This Row],[avg_games_per_stream]] &gt; 2, "Variety", "Focused")</f>
        <v>Focused</v>
      </c>
      <c r="T79" s="4">
        <f>Table4[[#This Row],[avg_viewers_per_stream]] / Table4[[#This Row],[total_followers]]</f>
        <v>9.8885964912280699E-3</v>
      </c>
    </row>
    <row r="80" spans="1:20">
      <c r="A80">
        <v>80</v>
      </c>
      <c r="B80" t="s">
        <v>162</v>
      </c>
      <c r="C80" t="s">
        <v>3</v>
      </c>
      <c r="D80" t="s">
        <v>58</v>
      </c>
      <c r="E80" t="s">
        <v>43</v>
      </c>
      <c r="F80" t="s">
        <v>12</v>
      </c>
      <c r="G80" s="3">
        <v>7.4</v>
      </c>
      <c r="H80">
        <v>2031</v>
      </c>
      <c r="I80">
        <v>82334</v>
      </c>
      <c r="J80">
        <v>1</v>
      </c>
      <c r="K80">
        <v>8775</v>
      </c>
      <c r="L80" s="2">
        <v>2830000</v>
      </c>
      <c r="M80" s="2">
        <v>115000000</v>
      </c>
      <c r="N80">
        <v>2</v>
      </c>
      <c r="O80">
        <v>3</v>
      </c>
      <c r="P80" t="s">
        <v>20</v>
      </c>
      <c r="Q80" t="s">
        <v>14</v>
      </c>
      <c r="R80" s="2">
        <f>Table4[[#This Row],[total_followers]]/(Table4[[#This Row],[total_time_streamed]] / 60)</f>
        <v>19350.427350427351</v>
      </c>
      <c r="S80" t="str">
        <f>IF(Table4[[#This Row],[avg_games_per_stream]] &gt; 2, "Variety", "Focused")</f>
        <v>Focused</v>
      </c>
      <c r="T80" s="4">
        <f>Table4[[#This Row],[avg_viewers_per_stream]] / Table4[[#This Row],[total_followers]]</f>
        <v>2.9093286219081273E-2</v>
      </c>
    </row>
    <row r="81" spans="1:20">
      <c r="A81">
        <v>81</v>
      </c>
      <c r="B81" t="s">
        <v>163</v>
      </c>
      <c r="C81" t="s">
        <v>5</v>
      </c>
      <c r="D81" t="s">
        <v>39</v>
      </c>
      <c r="E81" t="s">
        <v>66</v>
      </c>
      <c r="F81" t="s">
        <v>54</v>
      </c>
      <c r="G81" s="3">
        <v>6.3</v>
      </c>
      <c r="H81">
        <v>2010</v>
      </c>
      <c r="I81">
        <v>440</v>
      </c>
      <c r="J81">
        <v>1.1000000000000001</v>
      </c>
      <c r="K81">
        <v>5182</v>
      </c>
      <c r="L81" s="2">
        <v>267000</v>
      </c>
      <c r="M81" s="2">
        <v>58000</v>
      </c>
      <c r="N81">
        <v>55</v>
      </c>
      <c r="O81">
        <v>2.5</v>
      </c>
      <c r="P81" t="s">
        <v>14</v>
      </c>
      <c r="Q81" t="s">
        <v>15</v>
      </c>
      <c r="R81" s="2">
        <f>Table4[[#This Row],[total_followers]]/(Table4[[#This Row],[total_time_streamed]] / 60)</f>
        <v>3091.4704747201854</v>
      </c>
      <c r="S81" t="str">
        <f>IF(Table4[[#This Row],[avg_games_per_stream]] &gt; 2, "Variety", "Focused")</f>
        <v>Focused</v>
      </c>
      <c r="T81" s="4">
        <f>Table4[[#This Row],[avg_viewers_per_stream]] / Table4[[#This Row],[total_followers]]</f>
        <v>1.647940074906367E-3</v>
      </c>
    </row>
    <row r="82" spans="1:20">
      <c r="A82">
        <v>82</v>
      </c>
      <c r="B82" t="s">
        <v>164</v>
      </c>
      <c r="C82" t="s">
        <v>3</v>
      </c>
      <c r="D82" t="s">
        <v>39</v>
      </c>
      <c r="E82" t="s">
        <v>53</v>
      </c>
      <c r="F82" t="s">
        <v>40</v>
      </c>
      <c r="G82" s="3">
        <v>7</v>
      </c>
      <c r="H82">
        <v>4259</v>
      </c>
      <c r="I82">
        <v>14594</v>
      </c>
      <c r="J82">
        <v>3.9</v>
      </c>
      <c r="K82">
        <v>14929</v>
      </c>
      <c r="L82" s="2">
        <v>8890000</v>
      </c>
      <c r="M82" s="2">
        <v>398000000</v>
      </c>
      <c r="N82">
        <v>2084</v>
      </c>
      <c r="O82">
        <v>5.4</v>
      </c>
      <c r="P82" t="s">
        <v>15</v>
      </c>
      <c r="Q82" t="s">
        <v>18</v>
      </c>
      <c r="R82" s="2">
        <f>Table4[[#This Row],[total_followers]]/(Table4[[#This Row],[total_time_streamed]] / 60)</f>
        <v>35729.117824368681</v>
      </c>
      <c r="S82" t="str">
        <f>IF(Table4[[#This Row],[avg_games_per_stream]] &gt; 2, "Variety", "Focused")</f>
        <v>Variety</v>
      </c>
      <c r="T82" s="4">
        <f>Table4[[#This Row],[avg_viewers_per_stream]] / Table4[[#This Row],[total_followers]]</f>
        <v>1.6416197975253094E-3</v>
      </c>
    </row>
    <row r="83" spans="1:20">
      <c r="A83">
        <v>83</v>
      </c>
      <c r="B83" t="s">
        <v>165</v>
      </c>
      <c r="C83" t="s">
        <v>7</v>
      </c>
      <c r="D83" t="s">
        <v>39</v>
      </c>
      <c r="E83" t="s">
        <v>40</v>
      </c>
      <c r="F83" t="s">
        <v>66</v>
      </c>
      <c r="G83" s="3">
        <v>2.7</v>
      </c>
      <c r="H83">
        <v>1282</v>
      </c>
      <c r="I83">
        <v>11461</v>
      </c>
      <c r="J83">
        <v>1.2</v>
      </c>
      <c r="K83">
        <v>2918</v>
      </c>
      <c r="L83" s="2">
        <v>1460000</v>
      </c>
      <c r="M83" s="2">
        <v>13000000</v>
      </c>
      <c r="N83">
        <v>47</v>
      </c>
      <c r="O83">
        <v>2.8</v>
      </c>
      <c r="P83" t="s">
        <v>14</v>
      </c>
      <c r="Q83" t="s">
        <v>14</v>
      </c>
      <c r="R83" s="2">
        <f>Table4[[#This Row],[total_followers]]/(Table4[[#This Row],[total_time_streamed]] / 60)</f>
        <v>30020.562028786841</v>
      </c>
      <c r="S83" t="str">
        <f>IF(Table4[[#This Row],[avg_games_per_stream]] &gt; 2, "Variety", "Focused")</f>
        <v>Focused</v>
      </c>
      <c r="T83" s="4">
        <f>Table4[[#This Row],[avg_viewers_per_stream]] / Table4[[#This Row],[total_followers]]</f>
        <v>7.8499999999999993E-3</v>
      </c>
    </row>
    <row r="84" spans="1:20">
      <c r="A84">
        <v>84</v>
      </c>
      <c r="B84" t="s">
        <v>166</v>
      </c>
      <c r="C84" t="s">
        <v>4</v>
      </c>
      <c r="D84" t="s">
        <v>39</v>
      </c>
      <c r="E84" t="s">
        <v>66</v>
      </c>
      <c r="F84" t="s">
        <v>40</v>
      </c>
      <c r="G84" s="3">
        <v>6.1</v>
      </c>
      <c r="H84">
        <v>6300</v>
      </c>
      <c r="I84">
        <v>25285</v>
      </c>
      <c r="J84">
        <v>2.8</v>
      </c>
      <c r="K84">
        <v>12057</v>
      </c>
      <c r="L84" s="2">
        <v>1250000</v>
      </c>
      <c r="M84" s="2">
        <v>50300000</v>
      </c>
      <c r="N84">
        <v>239</v>
      </c>
      <c r="O84">
        <v>5.9</v>
      </c>
      <c r="P84" t="s">
        <v>19</v>
      </c>
      <c r="Q84" t="s">
        <v>14</v>
      </c>
      <c r="R84" s="2">
        <f>Table4[[#This Row],[total_followers]]/(Table4[[#This Row],[total_time_streamed]] / 60)</f>
        <v>6220.4528489674049</v>
      </c>
      <c r="S84" t="str">
        <f>IF(Table4[[#This Row],[avg_games_per_stream]] &gt; 2, "Variety", "Focused")</f>
        <v>Variety</v>
      </c>
      <c r="T84" s="4">
        <f>Table4[[#This Row],[avg_viewers_per_stream]] / Table4[[#This Row],[total_followers]]</f>
        <v>2.0227999999999999E-2</v>
      </c>
    </row>
    <row r="85" spans="1:20">
      <c r="A85">
        <v>85</v>
      </c>
      <c r="B85" t="s">
        <v>167</v>
      </c>
      <c r="C85" t="s">
        <v>3</v>
      </c>
      <c r="D85" t="s">
        <v>39</v>
      </c>
      <c r="E85" t="s">
        <v>46</v>
      </c>
      <c r="F85" t="s">
        <v>40</v>
      </c>
      <c r="G85" s="3">
        <v>3.1</v>
      </c>
      <c r="H85">
        <v>1614</v>
      </c>
      <c r="I85">
        <v>17198</v>
      </c>
      <c r="J85">
        <v>1.5</v>
      </c>
      <c r="K85">
        <v>3867</v>
      </c>
      <c r="L85" s="2">
        <v>1510000</v>
      </c>
      <c r="M85" s="2">
        <v>16100000</v>
      </c>
      <c r="N85">
        <v>133</v>
      </c>
      <c r="O85">
        <v>3.2</v>
      </c>
      <c r="P85" t="s">
        <v>20</v>
      </c>
      <c r="Q85" t="s">
        <v>16</v>
      </c>
      <c r="R85" s="2">
        <f>Table4[[#This Row],[total_followers]]/(Table4[[#This Row],[total_time_streamed]] / 60)</f>
        <v>23429.014740108611</v>
      </c>
      <c r="S85" t="str">
        <f>IF(Table4[[#This Row],[avg_games_per_stream]] &gt; 2, "Variety", "Focused")</f>
        <v>Focused</v>
      </c>
      <c r="T85" s="4">
        <f>Table4[[#This Row],[avg_viewers_per_stream]] / Table4[[#This Row],[total_followers]]</f>
        <v>1.1389403973509933E-2</v>
      </c>
    </row>
    <row r="86" spans="1:20">
      <c r="A86">
        <v>86</v>
      </c>
      <c r="B86" t="s">
        <v>168</v>
      </c>
      <c r="C86" t="s">
        <v>63</v>
      </c>
      <c r="D86" t="s">
        <v>39</v>
      </c>
      <c r="E86" t="s">
        <v>70</v>
      </c>
      <c r="F86" t="s">
        <v>88</v>
      </c>
      <c r="G86" s="3">
        <v>7.7</v>
      </c>
      <c r="H86">
        <v>5270</v>
      </c>
      <c r="I86">
        <v>3073</v>
      </c>
      <c r="J86">
        <v>1.6</v>
      </c>
      <c r="K86">
        <v>16864</v>
      </c>
      <c r="L86" s="2">
        <v>1270000</v>
      </c>
      <c r="M86" s="2">
        <v>74300000</v>
      </c>
      <c r="N86">
        <v>157</v>
      </c>
      <c r="O86">
        <v>6.3</v>
      </c>
      <c r="P86" t="s">
        <v>17</v>
      </c>
      <c r="Q86" t="s">
        <v>19</v>
      </c>
      <c r="R86" s="2">
        <f>Table4[[#This Row],[total_followers]]/(Table4[[#This Row],[total_time_streamed]] / 60)</f>
        <v>4518.5009487666039</v>
      </c>
      <c r="S86" t="str">
        <f>IF(Table4[[#This Row],[avg_games_per_stream]] &gt; 2, "Variety", "Focused")</f>
        <v>Focused</v>
      </c>
      <c r="T86" s="4">
        <f>Table4[[#This Row],[avg_viewers_per_stream]] / Table4[[#This Row],[total_followers]]</f>
        <v>2.4196850393700788E-3</v>
      </c>
    </row>
    <row r="87" spans="1:20">
      <c r="A87">
        <v>87</v>
      </c>
      <c r="B87" t="s">
        <v>169</v>
      </c>
      <c r="C87" t="s">
        <v>5</v>
      </c>
      <c r="D87" t="s">
        <v>39</v>
      </c>
      <c r="E87" t="s">
        <v>66</v>
      </c>
      <c r="F87" t="s">
        <v>54</v>
      </c>
      <c r="G87" s="3">
        <v>5.2</v>
      </c>
      <c r="H87">
        <v>9370</v>
      </c>
      <c r="I87">
        <v>2659</v>
      </c>
      <c r="J87">
        <v>1.4</v>
      </c>
      <c r="K87">
        <v>2724</v>
      </c>
      <c r="L87" s="2">
        <v>582000</v>
      </c>
      <c r="M87" s="2">
        <v>1650000</v>
      </c>
      <c r="N87">
        <v>66</v>
      </c>
      <c r="O87">
        <v>1.7</v>
      </c>
      <c r="P87" t="s">
        <v>18</v>
      </c>
      <c r="Q87" t="s">
        <v>15</v>
      </c>
      <c r="R87" s="2">
        <f>Table4[[#This Row],[total_followers]]/(Table4[[#This Row],[total_time_streamed]] / 60)</f>
        <v>12819.383259911894</v>
      </c>
      <c r="S87" t="str">
        <f>IF(Table4[[#This Row],[avg_games_per_stream]] &gt; 2, "Variety", "Focused")</f>
        <v>Focused</v>
      </c>
      <c r="T87" s="4">
        <f>Table4[[#This Row],[avg_viewers_per_stream]] / Table4[[#This Row],[total_followers]]</f>
        <v>4.5687285223367695E-3</v>
      </c>
    </row>
    <row r="88" spans="1:20">
      <c r="A88">
        <v>88</v>
      </c>
      <c r="B88" t="s">
        <v>170</v>
      </c>
      <c r="C88" t="s">
        <v>6</v>
      </c>
      <c r="D88" t="s">
        <v>39</v>
      </c>
      <c r="E88" t="s">
        <v>46</v>
      </c>
      <c r="F88" t="s">
        <v>40</v>
      </c>
      <c r="G88" s="3">
        <v>8.4</v>
      </c>
      <c r="H88">
        <v>8790</v>
      </c>
      <c r="I88">
        <v>53242</v>
      </c>
      <c r="J88">
        <v>1.1000000000000001</v>
      </c>
      <c r="K88">
        <v>10107</v>
      </c>
      <c r="L88" s="2">
        <v>1000000</v>
      </c>
      <c r="M88" s="2">
        <v>60500000</v>
      </c>
      <c r="N88">
        <v>22</v>
      </c>
      <c r="O88">
        <v>3.1</v>
      </c>
      <c r="P88" t="s">
        <v>15</v>
      </c>
      <c r="Q88" t="s">
        <v>15</v>
      </c>
      <c r="R88" s="2">
        <f>Table4[[#This Row],[total_followers]]/(Table4[[#This Row],[total_time_streamed]] / 60)</f>
        <v>5936.4796675571388</v>
      </c>
      <c r="S88" t="str">
        <f>IF(Table4[[#This Row],[avg_games_per_stream]] &gt; 2, "Variety", "Focused")</f>
        <v>Focused</v>
      </c>
      <c r="T88" s="4">
        <f>Table4[[#This Row],[avg_viewers_per_stream]] / Table4[[#This Row],[total_followers]]</f>
        <v>5.3241999999999998E-2</v>
      </c>
    </row>
    <row r="89" spans="1:20">
      <c r="A89">
        <v>89</v>
      </c>
      <c r="B89" t="s">
        <v>171</v>
      </c>
      <c r="C89" t="s">
        <v>3</v>
      </c>
      <c r="D89" t="s">
        <v>39</v>
      </c>
      <c r="E89" t="s">
        <v>79</v>
      </c>
      <c r="F89" t="s">
        <v>66</v>
      </c>
      <c r="G89" s="3">
        <v>6.1</v>
      </c>
      <c r="H89">
        <v>3690</v>
      </c>
      <c r="I89">
        <v>34598</v>
      </c>
      <c r="J89">
        <v>1.3</v>
      </c>
      <c r="K89">
        <v>15957</v>
      </c>
      <c r="L89" s="2">
        <v>1190000</v>
      </c>
      <c r="M89" s="2">
        <v>99500000</v>
      </c>
      <c r="N89">
        <v>561</v>
      </c>
      <c r="O89">
        <v>6.7</v>
      </c>
      <c r="P89" t="s">
        <v>17</v>
      </c>
      <c r="Q89" t="s">
        <v>18</v>
      </c>
      <c r="R89" s="2">
        <f>Table4[[#This Row],[total_followers]]/(Table4[[#This Row],[total_time_streamed]] / 60)</f>
        <v>4474.525286708028</v>
      </c>
      <c r="S89" t="str">
        <f>IF(Table4[[#This Row],[avg_games_per_stream]] &gt; 2, "Variety", "Focused")</f>
        <v>Focused</v>
      </c>
      <c r="T89" s="4">
        <f>Table4[[#This Row],[avg_viewers_per_stream]] / Table4[[#This Row],[total_followers]]</f>
        <v>2.9073949579831934E-2</v>
      </c>
    </row>
    <row r="90" spans="1:20">
      <c r="A90">
        <v>90</v>
      </c>
      <c r="B90" t="s">
        <v>172</v>
      </c>
      <c r="C90" t="s">
        <v>3</v>
      </c>
      <c r="D90" t="s">
        <v>39</v>
      </c>
      <c r="E90" t="s">
        <v>46</v>
      </c>
      <c r="F90" t="s">
        <v>93</v>
      </c>
      <c r="G90" s="3">
        <v>5.5</v>
      </c>
      <c r="H90">
        <v>9430</v>
      </c>
      <c r="I90">
        <v>16707</v>
      </c>
      <c r="J90">
        <v>1</v>
      </c>
      <c r="K90">
        <v>7317</v>
      </c>
      <c r="L90" s="2">
        <v>1250000</v>
      </c>
      <c r="M90" s="2">
        <v>22100000</v>
      </c>
      <c r="N90">
        <v>14</v>
      </c>
      <c r="O90">
        <v>4.4000000000000004</v>
      </c>
      <c r="P90" t="s">
        <v>16</v>
      </c>
      <c r="Q90" t="s">
        <v>14</v>
      </c>
      <c r="R90" s="2">
        <f>Table4[[#This Row],[total_followers]]/(Table4[[#This Row],[total_time_streamed]] / 60)</f>
        <v>10250.10250102501</v>
      </c>
      <c r="S90" t="str">
        <f>IF(Table4[[#This Row],[avg_games_per_stream]] &gt; 2, "Variety", "Focused")</f>
        <v>Focused</v>
      </c>
      <c r="T90" s="4">
        <f>Table4[[#This Row],[avg_viewers_per_stream]] / Table4[[#This Row],[total_followers]]</f>
        <v>1.33656E-2</v>
      </c>
    </row>
    <row r="91" spans="1:20">
      <c r="A91">
        <v>91</v>
      </c>
      <c r="B91" t="s">
        <v>173</v>
      </c>
      <c r="C91" t="s">
        <v>3</v>
      </c>
      <c r="D91" t="s">
        <v>39</v>
      </c>
      <c r="E91" t="s">
        <v>56</v>
      </c>
      <c r="G91" s="3">
        <v>6</v>
      </c>
      <c r="H91">
        <v>2560</v>
      </c>
      <c r="I91">
        <v>18637</v>
      </c>
      <c r="J91">
        <v>1</v>
      </c>
      <c r="K91">
        <v>6078</v>
      </c>
      <c r="L91" s="2">
        <v>147000</v>
      </c>
      <c r="M91" s="2">
        <v>14200000</v>
      </c>
      <c r="N91">
        <v>1</v>
      </c>
      <c r="O91">
        <v>1.5</v>
      </c>
      <c r="P91" t="s">
        <v>17</v>
      </c>
      <c r="Q91" t="s">
        <v>17</v>
      </c>
      <c r="R91" s="2">
        <f>Table4[[#This Row],[total_followers]]/(Table4[[#This Row],[total_time_streamed]] / 60)</f>
        <v>1451.1352418558736</v>
      </c>
      <c r="S91" t="str">
        <f>IF(Table4[[#This Row],[avg_games_per_stream]] &gt; 2, "Variety", "Focused")</f>
        <v>Focused</v>
      </c>
      <c r="T91" s="4">
        <f>Table4[[#This Row],[avg_viewers_per_stream]] / Table4[[#This Row],[total_followers]]</f>
        <v>0.12678231292517006</v>
      </c>
    </row>
    <row r="92" spans="1:20">
      <c r="A92">
        <v>92</v>
      </c>
      <c r="B92" t="s">
        <v>174</v>
      </c>
      <c r="C92" t="s">
        <v>7</v>
      </c>
      <c r="D92" t="s">
        <v>39</v>
      </c>
      <c r="E92" t="s">
        <v>40</v>
      </c>
      <c r="F92" t="s">
        <v>66</v>
      </c>
      <c r="G92" s="3">
        <v>4.5</v>
      </c>
      <c r="H92">
        <v>6830</v>
      </c>
      <c r="I92">
        <v>3173</v>
      </c>
      <c r="J92">
        <v>1.9</v>
      </c>
      <c r="K92">
        <v>5713</v>
      </c>
      <c r="L92" s="2">
        <v>909000</v>
      </c>
      <c r="M92" s="2">
        <v>4220000</v>
      </c>
      <c r="N92">
        <v>210</v>
      </c>
      <c r="O92">
        <v>5.8</v>
      </c>
      <c r="P92" t="s">
        <v>19</v>
      </c>
      <c r="Q92" t="s">
        <v>14</v>
      </c>
      <c r="R92" s="2">
        <f>Table4[[#This Row],[total_followers]]/(Table4[[#This Row],[total_time_streamed]] / 60)</f>
        <v>9546.6479957990541</v>
      </c>
      <c r="S92" t="str">
        <f>IF(Table4[[#This Row],[avg_games_per_stream]] &gt; 2, "Variety", "Focused")</f>
        <v>Focused</v>
      </c>
      <c r="T92" s="4">
        <f>Table4[[#This Row],[avg_viewers_per_stream]] / Table4[[#This Row],[total_followers]]</f>
        <v>3.4906490649064905E-3</v>
      </c>
    </row>
    <row r="93" spans="1:20">
      <c r="A93">
        <v>93</v>
      </c>
      <c r="B93" t="s">
        <v>175</v>
      </c>
      <c r="C93" t="s">
        <v>61</v>
      </c>
      <c r="D93" t="s">
        <v>39</v>
      </c>
      <c r="E93" t="s">
        <v>70</v>
      </c>
      <c r="F93" t="s">
        <v>74</v>
      </c>
      <c r="G93" s="3">
        <v>4.8</v>
      </c>
      <c r="H93">
        <v>2405</v>
      </c>
      <c r="I93">
        <v>50115</v>
      </c>
      <c r="J93">
        <v>1.7</v>
      </c>
      <c r="K93">
        <v>1944</v>
      </c>
      <c r="L93" s="2">
        <v>1120000</v>
      </c>
      <c r="M93" s="2">
        <v>22500000</v>
      </c>
      <c r="N93">
        <v>155</v>
      </c>
      <c r="O93">
        <v>1</v>
      </c>
      <c r="P93" t="s">
        <v>19</v>
      </c>
      <c r="Q93" t="s">
        <v>15</v>
      </c>
      <c r="R93" s="2">
        <f>Table4[[#This Row],[total_followers]]/(Table4[[#This Row],[total_time_streamed]] / 60)</f>
        <v>34567.9012345679</v>
      </c>
      <c r="S93" t="str">
        <f>IF(Table4[[#This Row],[avg_games_per_stream]] &gt; 2, "Variety", "Focused")</f>
        <v>Focused</v>
      </c>
      <c r="T93" s="4">
        <f>Table4[[#This Row],[avg_viewers_per_stream]] / Table4[[#This Row],[total_followers]]</f>
        <v>4.4745535714285717E-2</v>
      </c>
    </row>
    <row r="94" spans="1:20">
      <c r="A94">
        <v>94</v>
      </c>
      <c r="B94" t="s">
        <v>176</v>
      </c>
      <c r="C94" t="s">
        <v>5</v>
      </c>
      <c r="D94" t="s">
        <v>58</v>
      </c>
      <c r="E94" t="s">
        <v>68</v>
      </c>
      <c r="F94" t="s">
        <v>54</v>
      </c>
      <c r="G94" s="3">
        <v>7.8</v>
      </c>
      <c r="H94">
        <v>248</v>
      </c>
      <c r="I94">
        <v>36289</v>
      </c>
      <c r="J94">
        <v>1</v>
      </c>
      <c r="K94">
        <v>6740</v>
      </c>
      <c r="L94" s="2">
        <v>209000</v>
      </c>
      <c r="M94" s="2">
        <v>3050000</v>
      </c>
      <c r="N94">
        <v>5</v>
      </c>
      <c r="O94">
        <v>0.5</v>
      </c>
      <c r="P94" t="s">
        <v>14</v>
      </c>
      <c r="Q94" t="s">
        <v>15</v>
      </c>
      <c r="R94" s="2">
        <f>Table4[[#This Row],[total_followers]]/(Table4[[#This Row],[total_time_streamed]] / 60)</f>
        <v>1860.5341246290802</v>
      </c>
      <c r="S94" t="str">
        <f>IF(Table4[[#This Row],[avg_games_per_stream]] &gt; 2, "Variety", "Focused")</f>
        <v>Focused</v>
      </c>
      <c r="T94" s="4">
        <f>Table4[[#This Row],[avg_viewers_per_stream]] / Table4[[#This Row],[total_followers]]</f>
        <v>0.17363157894736841</v>
      </c>
    </row>
    <row r="95" spans="1:20">
      <c r="A95">
        <v>95</v>
      </c>
      <c r="B95" t="s">
        <v>177</v>
      </c>
      <c r="C95" t="s">
        <v>6</v>
      </c>
      <c r="D95" t="s">
        <v>39</v>
      </c>
      <c r="E95" t="s">
        <v>54</v>
      </c>
      <c r="F95" t="s">
        <v>85</v>
      </c>
      <c r="G95" s="3">
        <v>7.8</v>
      </c>
      <c r="H95">
        <v>4450</v>
      </c>
      <c r="I95">
        <v>2648</v>
      </c>
      <c r="J95">
        <v>1.1000000000000001</v>
      </c>
      <c r="K95">
        <v>8245</v>
      </c>
      <c r="L95" s="2">
        <v>481000</v>
      </c>
      <c r="M95" s="2">
        <v>2860000</v>
      </c>
      <c r="N95">
        <v>29</v>
      </c>
      <c r="O95">
        <v>4.8</v>
      </c>
      <c r="P95" t="s">
        <v>19</v>
      </c>
      <c r="Q95" t="s">
        <v>14</v>
      </c>
      <c r="R95" s="2">
        <f>Table4[[#This Row],[total_followers]]/(Table4[[#This Row],[total_time_streamed]] / 60)</f>
        <v>3500.303214069133</v>
      </c>
      <c r="S95" t="str">
        <f>IF(Table4[[#This Row],[avg_games_per_stream]] &gt; 2, "Variety", "Focused")</f>
        <v>Focused</v>
      </c>
      <c r="T95" s="4">
        <f>Table4[[#This Row],[avg_viewers_per_stream]] / Table4[[#This Row],[total_followers]]</f>
        <v>5.5051975051975052E-3</v>
      </c>
    </row>
    <row r="96" spans="1:20">
      <c r="A96">
        <v>96</v>
      </c>
      <c r="B96" t="s">
        <v>178</v>
      </c>
      <c r="C96" t="s">
        <v>3</v>
      </c>
      <c r="D96" t="s">
        <v>58</v>
      </c>
      <c r="E96" t="s">
        <v>64</v>
      </c>
      <c r="G96" s="3">
        <v>20.3</v>
      </c>
      <c r="H96">
        <v>6060</v>
      </c>
      <c r="I96">
        <v>54843</v>
      </c>
      <c r="J96">
        <v>1</v>
      </c>
      <c r="K96">
        <v>34047</v>
      </c>
      <c r="L96" s="2">
        <v>802000</v>
      </c>
      <c r="M96" s="2">
        <v>93100000</v>
      </c>
      <c r="N96">
        <v>1</v>
      </c>
      <c r="O96">
        <v>4.4000000000000004</v>
      </c>
      <c r="P96" t="s">
        <v>18</v>
      </c>
      <c r="Q96" t="s">
        <v>14</v>
      </c>
      <c r="R96" s="2">
        <f>Table4[[#This Row],[total_followers]]/(Table4[[#This Row],[total_time_streamed]] / 60)</f>
        <v>1413.3403824125473</v>
      </c>
      <c r="S96" t="str">
        <f>IF(Table4[[#This Row],[avg_games_per_stream]] &gt; 2, "Variety", "Focused")</f>
        <v>Focused</v>
      </c>
      <c r="T96" s="4">
        <f>Table4[[#This Row],[avg_viewers_per_stream]] / Table4[[#This Row],[total_followers]]</f>
        <v>6.8382793017456353E-2</v>
      </c>
    </row>
    <row r="97" spans="1:20">
      <c r="A97">
        <v>97</v>
      </c>
      <c r="B97" t="s">
        <v>179</v>
      </c>
      <c r="C97" t="s">
        <v>160</v>
      </c>
      <c r="D97" t="s">
        <v>39</v>
      </c>
      <c r="E97" t="s">
        <v>46</v>
      </c>
      <c r="F97" t="s">
        <v>40</v>
      </c>
      <c r="G97" s="3">
        <v>6.4</v>
      </c>
      <c r="H97">
        <v>1457</v>
      </c>
      <c r="I97">
        <v>76275</v>
      </c>
      <c r="J97">
        <v>2</v>
      </c>
      <c r="K97">
        <v>5564</v>
      </c>
      <c r="L97" s="2">
        <v>1030000</v>
      </c>
      <c r="M97" s="2">
        <v>53700000</v>
      </c>
      <c r="N97">
        <v>132</v>
      </c>
      <c r="O97">
        <v>2.2000000000000002</v>
      </c>
      <c r="P97" t="s">
        <v>14</v>
      </c>
      <c r="Q97" t="s">
        <v>14</v>
      </c>
      <c r="R97" s="2">
        <f>Table4[[#This Row],[total_followers]]/(Table4[[#This Row],[total_time_streamed]] / 60)</f>
        <v>11107.117181883537</v>
      </c>
      <c r="S97" t="str">
        <f>IF(Table4[[#This Row],[avg_games_per_stream]] &gt; 2, "Variety", "Focused")</f>
        <v>Focused</v>
      </c>
      <c r="T97" s="4">
        <f>Table4[[#This Row],[avg_viewers_per_stream]] / Table4[[#This Row],[total_followers]]</f>
        <v>7.4053398058252423E-2</v>
      </c>
    </row>
    <row r="98" spans="1:20">
      <c r="A98">
        <v>98</v>
      </c>
      <c r="B98" t="s">
        <v>180</v>
      </c>
      <c r="C98" t="s">
        <v>63</v>
      </c>
      <c r="D98" t="s">
        <v>39</v>
      </c>
      <c r="E98" t="s">
        <v>64</v>
      </c>
      <c r="F98" t="s">
        <v>40</v>
      </c>
      <c r="G98" s="3">
        <v>3.9</v>
      </c>
      <c r="H98">
        <v>114</v>
      </c>
      <c r="I98">
        <v>7175</v>
      </c>
      <c r="J98">
        <v>1.1000000000000001</v>
      </c>
      <c r="K98">
        <v>2873</v>
      </c>
      <c r="L98" s="2">
        <v>868000</v>
      </c>
      <c r="M98" s="2">
        <v>5470000</v>
      </c>
      <c r="N98">
        <v>14</v>
      </c>
      <c r="O98">
        <v>3.2</v>
      </c>
      <c r="P98" t="s">
        <v>16</v>
      </c>
      <c r="Q98" t="s">
        <v>16</v>
      </c>
      <c r="R98" s="2">
        <f>Table4[[#This Row],[total_followers]]/(Table4[[#This Row],[total_time_streamed]] / 60)</f>
        <v>18127.39296902193</v>
      </c>
      <c r="S98" t="str">
        <f>IF(Table4[[#This Row],[avg_games_per_stream]] &gt; 2, "Variety", "Focused")</f>
        <v>Focused</v>
      </c>
      <c r="T98" s="4">
        <f>Table4[[#This Row],[avg_viewers_per_stream]] / Table4[[#This Row],[total_followers]]</f>
        <v>8.2661290322580648E-3</v>
      </c>
    </row>
    <row r="99" spans="1:20">
      <c r="A99">
        <v>99</v>
      </c>
      <c r="B99" t="s">
        <v>181</v>
      </c>
      <c r="C99" t="s">
        <v>3</v>
      </c>
      <c r="D99" t="s">
        <v>39</v>
      </c>
      <c r="E99" t="s">
        <v>64</v>
      </c>
      <c r="F99" t="s">
        <v>70</v>
      </c>
      <c r="G99" s="3">
        <v>6.6</v>
      </c>
      <c r="H99">
        <v>3120</v>
      </c>
      <c r="I99">
        <v>3621</v>
      </c>
      <c r="J99">
        <v>1.1000000000000001</v>
      </c>
      <c r="K99">
        <v>15475</v>
      </c>
      <c r="L99" s="2">
        <v>720000</v>
      </c>
      <c r="M99" s="2">
        <v>83400000</v>
      </c>
      <c r="N99">
        <v>88</v>
      </c>
      <c r="O99">
        <v>6.2</v>
      </c>
      <c r="P99" t="s">
        <v>16</v>
      </c>
      <c r="Q99" t="s">
        <v>16</v>
      </c>
      <c r="R99" s="2">
        <f>Table4[[#This Row],[total_followers]]/(Table4[[#This Row],[total_time_streamed]] / 60)</f>
        <v>2791.5993537964455</v>
      </c>
      <c r="S99" t="str">
        <f>IF(Table4[[#This Row],[avg_games_per_stream]] &gt; 2, "Variety", "Focused")</f>
        <v>Focused</v>
      </c>
      <c r="T99" s="4">
        <f>Table4[[#This Row],[avg_viewers_per_stream]] / Table4[[#This Row],[total_followers]]</f>
        <v>5.029166666666667E-3</v>
      </c>
    </row>
    <row r="100" spans="1:20">
      <c r="A100">
        <v>100</v>
      </c>
      <c r="B100" t="s">
        <v>182</v>
      </c>
      <c r="C100" t="s">
        <v>63</v>
      </c>
      <c r="D100" t="s">
        <v>39</v>
      </c>
      <c r="E100" t="s">
        <v>40</v>
      </c>
      <c r="F100" t="s">
        <v>74</v>
      </c>
      <c r="G100" s="3">
        <v>3.2</v>
      </c>
      <c r="H100">
        <v>2963</v>
      </c>
      <c r="I100">
        <v>85485</v>
      </c>
      <c r="J100">
        <v>1.7</v>
      </c>
      <c r="K100">
        <v>4024</v>
      </c>
      <c r="L100" s="2">
        <v>3950000</v>
      </c>
      <c r="M100" s="2">
        <v>114000000</v>
      </c>
      <c r="N100">
        <v>125</v>
      </c>
      <c r="O100">
        <v>3.5</v>
      </c>
      <c r="P100" t="s">
        <v>19</v>
      </c>
      <c r="Q100" t="s">
        <v>18</v>
      </c>
      <c r="R100" s="2">
        <f>Table4[[#This Row],[total_followers]]/(Table4[[#This Row],[total_time_streamed]] / 60)</f>
        <v>58896.620278330025</v>
      </c>
      <c r="S100" t="str">
        <f>IF(Table4[[#This Row],[avg_games_per_stream]] &gt; 2, "Variety", "Focused")</f>
        <v>Focused</v>
      </c>
      <c r="T100" s="4">
        <f>Table4[[#This Row],[avg_viewers_per_stream]] / Table4[[#This Row],[total_followers]]</f>
        <v>2.1641772151898733E-2</v>
      </c>
    </row>
    <row r="101" spans="1:20">
      <c r="A101">
        <v>101</v>
      </c>
      <c r="B101" t="s">
        <v>183</v>
      </c>
      <c r="C101" t="s">
        <v>4</v>
      </c>
      <c r="D101" t="s">
        <v>39</v>
      </c>
      <c r="E101" t="s">
        <v>40</v>
      </c>
      <c r="F101" t="s">
        <v>46</v>
      </c>
      <c r="G101" s="3">
        <v>4.5</v>
      </c>
      <c r="H101">
        <v>9150</v>
      </c>
      <c r="I101">
        <v>61195</v>
      </c>
      <c r="J101">
        <v>2</v>
      </c>
      <c r="K101">
        <v>7294</v>
      </c>
      <c r="L101" s="2">
        <v>1780000</v>
      </c>
      <c r="M101" s="2">
        <v>121000000</v>
      </c>
      <c r="N101">
        <v>443</v>
      </c>
      <c r="O101">
        <v>4.0999999999999996</v>
      </c>
      <c r="P101" t="s">
        <v>17</v>
      </c>
      <c r="Q101" t="s">
        <v>14</v>
      </c>
      <c r="R101" s="2">
        <f>Table4[[#This Row],[total_followers]]/(Table4[[#This Row],[total_time_streamed]] / 60)</f>
        <v>14642.171647929807</v>
      </c>
      <c r="S101" t="str">
        <f>IF(Table4[[#This Row],[avg_games_per_stream]] &gt; 2, "Variety", "Focused")</f>
        <v>Focused</v>
      </c>
      <c r="T101" s="4">
        <f>Table4[[#This Row],[avg_viewers_per_stream]] / Table4[[#This Row],[total_followers]]</f>
        <v>3.4379213483146071E-2</v>
      </c>
    </row>
    <row r="102" spans="1:20">
      <c r="A102">
        <v>102</v>
      </c>
      <c r="B102" t="s">
        <v>184</v>
      </c>
      <c r="C102" t="s">
        <v>7</v>
      </c>
      <c r="D102" t="s">
        <v>39</v>
      </c>
      <c r="E102" t="s">
        <v>53</v>
      </c>
      <c r="F102" t="s">
        <v>40</v>
      </c>
      <c r="G102" s="3">
        <v>6.2</v>
      </c>
      <c r="H102">
        <v>2134</v>
      </c>
      <c r="I102">
        <v>5243</v>
      </c>
      <c r="J102">
        <v>1.6</v>
      </c>
      <c r="K102">
        <v>11068</v>
      </c>
      <c r="L102" s="2">
        <v>3940000</v>
      </c>
      <c r="M102" s="2">
        <v>96900000</v>
      </c>
      <c r="N102">
        <v>137</v>
      </c>
      <c r="O102">
        <v>5</v>
      </c>
      <c r="P102" t="s">
        <v>16</v>
      </c>
      <c r="Q102" t="s">
        <v>16</v>
      </c>
      <c r="R102" s="2">
        <f>Table4[[#This Row],[total_followers]]/(Table4[[#This Row],[total_time_streamed]] / 60)</f>
        <v>21358.872425009034</v>
      </c>
      <c r="S102" t="str">
        <f>IF(Table4[[#This Row],[avg_games_per_stream]] &gt; 2, "Variety", "Focused")</f>
        <v>Focused</v>
      </c>
      <c r="T102" s="4">
        <f>Table4[[#This Row],[avg_viewers_per_stream]] / Table4[[#This Row],[total_followers]]</f>
        <v>1.3307106598984771E-3</v>
      </c>
    </row>
    <row r="103" spans="1:20">
      <c r="A103">
        <v>103</v>
      </c>
      <c r="B103" t="s">
        <v>185</v>
      </c>
      <c r="C103" t="s">
        <v>7</v>
      </c>
      <c r="D103" t="s">
        <v>39</v>
      </c>
      <c r="E103" t="s">
        <v>51</v>
      </c>
      <c r="F103" t="s">
        <v>40</v>
      </c>
      <c r="G103" s="3">
        <v>1.9</v>
      </c>
      <c r="H103">
        <v>18808</v>
      </c>
      <c r="I103">
        <v>14365</v>
      </c>
      <c r="J103">
        <v>1.3</v>
      </c>
      <c r="K103">
        <v>5170</v>
      </c>
      <c r="L103" s="2">
        <v>4620000</v>
      </c>
      <c r="M103" s="2">
        <v>3510000</v>
      </c>
      <c r="N103">
        <v>33</v>
      </c>
      <c r="O103">
        <v>1.6</v>
      </c>
      <c r="P103" t="s">
        <v>18</v>
      </c>
      <c r="Q103" t="s">
        <v>19</v>
      </c>
      <c r="R103" s="2">
        <f>Table4[[#This Row],[total_followers]]/(Table4[[#This Row],[total_time_streamed]] / 60)</f>
        <v>53617.02127659574</v>
      </c>
      <c r="S103" t="str">
        <f>IF(Table4[[#This Row],[avg_games_per_stream]] &gt; 2, "Variety", "Focused")</f>
        <v>Focused</v>
      </c>
      <c r="T103" s="4">
        <f>Table4[[#This Row],[avg_viewers_per_stream]] / Table4[[#This Row],[total_followers]]</f>
        <v>3.1093073593073594E-3</v>
      </c>
    </row>
    <row r="104" spans="1:20">
      <c r="A104">
        <v>104</v>
      </c>
      <c r="B104" t="s">
        <v>186</v>
      </c>
      <c r="C104" t="s">
        <v>5</v>
      </c>
      <c r="D104" t="s">
        <v>39</v>
      </c>
      <c r="E104" t="s">
        <v>46</v>
      </c>
      <c r="F104" t="s">
        <v>54</v>
      </c>
      <c r="G104" s="3">
        <v>6.2</v>
      </c>
      <c r="H104">
        <v>4280</v>
      </c>
      <c r="I104">
        <v>5546</v>
      </c>
      <c r="J104">
        <v>1.4</v>
      </c>
      <c r="K104">
        <v>8836</v>
      </c>
      <c r="L104" s="2">
        <v>786000</v>
      </c>
      <c r="M104" s="2">
        <v>10200000</v>
      </c>
      <c r="N104">
        <v>248</v>
      </c>
      <c r="O104">
        <v>3.7</v>
      </c>
      <c r="P104" t="s">
        <v>17</v>
      </c>
      <c r="Q104" t="s">
        <v>14</v>
      </c>
      <c r="R104" s="2">
        <f>Table4[[#This Row],[total_followers]]/(Table4[[#This Row],[total_time_streamed]] / 60)</f>
        <v>5337.2566772295149</v>
      </c>
      <c r="S104" t="str">
        <f>IF(Table4[[#This Row],[avg_games_per_stream]] &gt; 2, "Variety", "Focused")</f>
        <v>Focused</v>
      </c>
      <c r="T104" s="4">
        <f>Table4[[#This Row],[avg_viewers_per_stream]] / Table4[[#This Row],[total_followers]]</f>
        <v>7.055979643765903E-3</v>
      </c>
    </row>
    <row r="105" spans="1:20">
      <c r="A105">
        <v>105</v>
      </c>
      <c r="B105" t="s">
        <v>187</v>
      </c>
      <c r="C105" t="s">
        <v>3</v>
      </c>
      <c r="D105" t="s">
        <v>39</v>
      </c>
      <c r="E105" t="s">
        <v>56</v>
      </c>
      <c r="F105" t="s">
        <v>54</v>
      </c>
      <c r="G105" s="3">
        <v>3.5</v>
      </c>
      <c r="H105">
        <v>7152</v>
      </c>
      <c r="I105">
        <v>18628</v>
      </c>
      <c r="J105">
        <v>1.1000000000000001</v>
      </c>
      <c r="K105">
        <v>1889</v>
      </c>
      <c r="L105" s="2">
        <v>3740000</v>
      </c>
      <c r="M105" s="2">
        <v>99100000</v>
      </c>
      <c r="N105">
        <v>20</v>
      </c>
      <c r="O105">
        <v>1.4</v>
      </c>
      <c r="P105" t="s">
        <v>19</v>
      </c>
      <c r="Q105" t="s">
        <v>16</v>
      </c>
      <c r="R105" s="2">
        <f>Table4[[#This Row],[total_followers]]/(Table4[[#This Row],[total_time_streamed]] / 60)</f>
        <v>118793.01217575437</v>
      </c>
      <c r="S105" t="str">
        <f>IF(Table4[[#This Row],[avg_games_per_stream]] &gt; 2, "Variety", "Focused")</f>
        <v>Focused</v>
      </c>
      <c r="T105" s="4">
        <f>Table4[[#This Row],[avg_viewers_per_stream]] / Table4[[#This Row],[total_followers]]</f>
        <v>4.9807486631016041E-3</v>
      </c>
    </row>
    <row r="106" spans="1:20">
      <c r="A106">
        <v>106</v>
      </c>
      <c r="B106" t="s">
        <v>188</v>
      </c>
      <c r="C106" t="s">
        <v>63</v>
      </c>
      <c r="D106" t="s">
        <v>39</v>
      </c>
      <c r="E106" t="s">
        <v>189</v>
      </c>
      <c r="F106" t="s">
        <v>64</v>
      </c>
      <c r="G106" s="3">
        <v>6.2</v>
      </c>
      <c r="H106">
        <v>3430</v>
      </c>
      <c r="I106">
        <v>694</v>
      </c>
      <c r="J106">
        <v>1.2</v>
      </c>
      <c r="K106">
        <v>12717</v>
      </c>
      <c r="L106" s="2">
        <v>862000</v>
      </c>
      <c r="M106" s="2">
        <v>159000000</v>
      </c>
      <c r="N106">
        <v>115</v>
      </c>
      <c r="O106">
        <v>5.3</v>
      </c>
      <c r="P106" t="s">
        <v>20</v>
      </c>
      <c r="Q106" t="s">
        <v>19</v>
      </c>
      <c r="R106" s="2">
        <f>Table4[[#This Row],[total_followers]]/(Table4[[#This Row],[total_time_streamed]] / 60)</f>
        <v>4066.9969332389715</v>
      </c>
      <c r="S106" t="str">
        <f>IF(Table4[[#This Row],[avg_games_per_stream]] &gt; 2, "Variety", "Focused")</f>
        <v>Focused</v>
      </c>
      <c r="T106" s="4">
        <f>Table4[[#This Row],[avg_viewers_per_stream]] / Table4[[#This Row],[total_followers]]</f>
        <v>8.0510440835266826E-4</v>
      </c>
    </row>
    <row r="107" spans="1:20">
      <c r="A107">
        <v>107</v>
      </c>
      <c r="B107" t="s">
        <v>190</v>
      </c>
      <c r="C107" t="s">
        <v>4</v>
      </c>
      <c r="D107" t="s">
        <v>39</v>
      </c>
      <c r="E107" t="s">
        <v>74</v>
      </c>
      <c r="F107" t="s">
        <v>123</v>
      </c>
      <c r="G107" s="3">
        <v>6.9</v>
      </c>
      <c r="H107">
        <v>1893</v>
      </c>
      <c r="I107">
        <v>83426</v>
      </c>
      <c r="J107">
        <v>1.8</v>
      </c>
      <c r="K107">
        <v>14351</v>
      </c>
      <c r="L107" s="2">
        <v>4330000</v>
      </c>
      <c r="M107" s="2">
        <v>185000000</v>
      </c>
      <c r="N107">
        <v>187</v>
      </c>
      <c r="O107">
        <v>5.3</v>
      </c>
      <c r="P107" t="s">
        <v>16</v>
      </c>
      <c r="Q107" t="s">
        <v>16</v>
      </c>
      <c r="R107" s="2">
        <f>Table4[[#This Row],[total_followers]]/(Table4[[#This Row],[total_time_streamed]] / 60)</f>
        <v>18103.268064943208</v>
      </c>
      <c r="S107" t="str">
        <f>IF(Table4[[#This Row],[avg_games_per_stream]] &gt; 2, "Variety", "Focused")</f>
        <v>Focused</v>
      </c>
      <c r="T107" s="4">
        <f>Table4[[#This Row],[avg_viewers_per_stream]] / Table4[[#This Row],[total_followers]]</f>
        <v>1.9266974595842958E-2</v>
      </c>
    </row>
    <row r="108" spans="1:20">
      <c r="A108">
        <v>108</v>
      </c>
      <c r="B108" t="s">
        <v>191</v>
      </c>
      <c r="C108" t="s">
        <v>61</v>
      </c>
      <c r="D108" t="s">
        <v>39</v>
      </c>
      <c r="E108" t="s">
        <v>46</v>
      </c>
      <c r="F108" t="s">
        <v>123</v>
      </c>
      <c r="G108" s="3">
        <v>6.4</v>
      </c>
      <c r="H108">
        <v>1580</v>
      </c>
      <c r="I108">
        <v>6062</v>
      </c>
      <c r="J108">
        <v>1.3</v>
      </c>
      <c r="K108">
        <v>10965</v>
      </c>
      <c r="L108" s="2">
        <v>309000</v>
      </c>
      <c r="M108" s="2">
        <v>11800000</v>
      </c>
      <c r="N108">
        <v>105</v>
      </c>
      <c r="O108">
        <v>5.4</v>
      </c>
      <c r="P108" t="s">
        <v>20</v>
      </c>
      <c r="Q108" t="s">
        <v>19</v>
      </c>
      <c r="R108" s="2">
        <f>Table4[[#This Row],[total_followers]]/(Table4[[#This Row],[total_time_streamed]] / 60)</f>
        <v>1690.8344733242134</v>
      </c>
      <c r="S108" t="str">
        <f>IF(Table4[[#This Row],[avg_games_per_stream]] &gt; 2, "Variety", "Focused")</f>
        <v>Focused</v>
      </c>
      <c r="T108" s="4">
        <f>Table4[[#This Row],[avg_viewers_per_stream]] / Table4[[#This Row],[total_followers]]</f>
        <v>1.9618122977346279E-2</v>
      </c>
    </row>
    <row r="109" spans="1:20">
      <c r="A109">
        <v>109</v>
      </c>
      <c r="B109" t="s">
        <v>192</v>
      </c>
      <c r="C109" t="s">
        <v>7</v>
      </c>
      <c r="D109" t="s">
        <v>39</v>
      </c>
      <c r="E109" t="s">
        <v>193</v>
      </c>
      <c r="F109" t="s">
        <v>104</v>
      </c>
      <c r="G109" s="3">
        <v>4</v>
      </c>
      <c r="H109">
        <v>6534</v>
      </c>
      <c r="I109">
        <v>12638</v>
      </c>
      <c r="J109">
        <v>1.3</v>
      </c>
      <c r="K109">
        <v>8650</v>
      </c>
      <c r="L109" s="2">
        <v>1540000</v>
      </c>
      <c r="M109" s="2">
        <v>3220000</v>
      </c>
      <c r="N109">
        <v>12</v>
      </c>
      <c r="O109">
        <v>0.7</v>
      </c>
      <c r="P109" t="s">
        <v>18</v>
      </c>
      <c r="Q109" t="s">
        <v>18</v>
      </c>
      <c r="R109" s="2">
        <f>Table4[[#This Row],[total_followers]]/(Table4[[#This Row],[total_time_streamed]] / 60)</f>
        <v>10682.080924855492</v>
      </c>
      <c r="S109" t="str">
        <f>IF(Table4[[#This Row],[avg_games_per_stream]] &gt; 2, "Variety", "Focused")</f>
        <v>Focused</v>
      </c>
      <c r="T109" s="4">
        <f>Table4[[#This Row],[avg_viewers_per_stream]] / Table4[[#This Row],[total_followers]]</f>
        <v>8.2064935064935073E-3</v>
      </c>
    </row>
    <row r="110" spans="1:20">
      <c r="A110">
        <v>110</v>
      </c>
      <c r="B110" t="s">
        <v>194</v>
      </c>
      <c r="C110" t="s">
        <v>63</v>
      </c>
      <c r="D110" t="s">
        <v>39</v>
      </c>
      <c r="E110" t="s">
        <v>40</v>
      </c>
      <c r="F110" t="s">
        <v>56</v>
      </c>
      <c r="G110" s="3">
        <v>2.2999999999999998</v>
      </c>
      <c r="H110">
        <v>6190</v>
      </c>
      <c r="I110">
        <v>10742</v>
      </c>
      <c r="J110">
        <v>1.4</v>
      </c>
      <c r="K110">
        <v>2093</v>
      </c>
      <c r="L110" s="2">
        <v>562000</v>
      </c>
      <c r="M110" s="2">
        <v>9740000</v>
      </c>
      <c r="N110">
        <v>63</v>
      </c>
      <c r="O110">
        <v>4.3</v>
      </c>
      <c r="P110" t="s">
        <v>15</v>
      </c>
      <c r="Q110" t="s">
        <v>14</v>
      </c>
      <c r="R110" s="2">
        <f>Table4[[#This Row],[total_followers]]/(Table4[[#This Row],[total_time_streamed]] / 60)</f>
        <v>16110.845676063067</v>
      </c>
      <c r="S110" t="str">
        <f>IF(Table4[[#This Row],[avg_games_per_stream]] &gt; 2, "Variety", "Focused")</f>
        <v>Focused</v>
      </c>
      <c r="T110" s="4">
        <f>Table4[[#This Row],[avg_viewers_per_stream]] / Table4[[#This Row],[total_followers]]</f>
        <v>1.911387900355872E-2</v>
      </c>
    </row>
    <row r="111" spans="1:20">
      <c r="A111">
        <v>111</v>
      </c>
      <c r="B111" t="s">
        <v>195</v>
      </c>
      <c r="C111" t="s">
        <v>3</v>
      </c>
      <c r="D111" t="s">
        <v>58</v>
      </c>
      <c r="E111" t="s">
        <v>135</v>
      </c>
      <c r="G111" s="3">
        <v>6.4</v>
      </c>
      <c r="H111">
        <v>177</v>
      </c>
      <c r="I111">
        <v>3556</v>
      </c>
      <c r="J111">
        <v>1</v>
      </c>
      <c r="K111">
        <v>1121</v>
      </c>
      <c r="L111" s="2">
        <v>315000</v>
      </c>
      <c r="M111" s="2">
        <v>634000</v>
      </c>
      <c r="N111">
        <v>1</v>
      </c>
      <c r="O111">
        <v>1.2</v>
      </c>
      <c r="P111" t="s">
        <v>14</v>
      </c>
      <c r="Q111" t="s">
        <v>15</v>
      </c>
      <c r="R111" s="2">
        <f>Table4[[#This Row],[total_followers]]/(Table4[[#This Row],[total_time_streamed]] / 60)</f>
        <v>16859.946476360394</v>
      </c>
      <c r="S111" t="str">
        <f>IF(Table4[[#This Row],[avg_games_per_stream]] &gt; 2, "Variety", "Focused")</f>
        <v>Focused</v>
      </c>
      <c r="T111" s="4">
        <f>Table4[[#This Row],[avg_viewers_per_stream]] / Table4[[#This Row],[total_followers]]</f>
        <v>1.1288888888888888E-2</v>
      </c>
    </row>
    <row r="112" spans="1:20">
      <c r="A112">
        <v>112</v>
      </c>
      <c r="B112" t="s">
        <v>196</v>
      </c>
      <c r="C112" t="s">
        <v>61</v>
      </c>
      <c r="D112" t="s">
        <v>39</v>
      </c>
      <c r="E112" t="s">
        <v>40</v>
      </c>
      <c r="F112" t="s">
        <v>51</v>
      </c>
      <c r="G112" s="3">
        <v>6.5</v>
      </c>
      <c r="H112">
        <v>1383</v>
      </c>
      <c r="I112">
        <v>31529</v>
      </c>
      <c r="J112">
        <v>2.2000000000000002</v>
      </c>
      <c r="K112">
        <v>5526</v>
      </c>
      <c r="L112" s="2">
        <v>1110000</v>
      </c>
      <c r="M112" s="2">
        <v>25100000</v>
      </c>
      <c r="N112">
        <v>253</v>
      </c>
      <c r="O112">
        <v>2.8</v>
      </c>
      <c r="P112" t="s">
        <v>19</v>
      </c>
      <c r="Q112" t="s">
        <v>15</v>
      </c>
      <c r="R112" s="2">
        <f>Table4[[#This Row],[total_followers]]/(Table4[[#This Row],[total_time_streamed]] / 60)</f>
        <v>12052.117263843649</v>
      </c>
      <c r="S112" t="str">
        <f>IF(Table4[[#This Row],[avg_games_per_stream]] &gt; 2, "Variety", "Focused")</f>
        <v>Variety</v>
      </c>
      <c r="T112" s="4">
        <f>Table4[[#This Row],[avg_viewers_per_stream]] / Table4[[#This Row],[total_followers]]</f>
        <v>2.8404504504504505E-2</v>
      </c>
    </row>
    <row r="113" spans="1:20">
      <c r="A113">
        <v>113</v>
      </c>
      <c r="B113" t="s">
        <v>197</v>
      </c>
      <c r="C113" t="s">
        <v>5</v>
      </c>
      <c r="D113" t="s">
        <v>39</v>
      </c>
      <c r="E113" t="s">
        <v>54</v>
      </c>
      <c r="F113" t="s">
        <v>46</v>
      </c>
      <c r="G113" s="3">
        <v>5.2</v>
      </c>
      <c r="H113">
        <v>1235</v>
      </c>
      <c r="I113">
        <v>2410</v>
      </c>
      <c r="J113">
        <v>1.2</v>
      </c>
      <c r="K113">
        <v>1869</v>
      </c>
      <c r="L113" s="2">
        <v>467000</v>
      </c>
      <c r="M113" s="2">
        <v>94200</v>
      </c>
      <c r="N113">
        <v>29</v>
      </c>
      <c r="O113">
        <v>3.1</v>
      </c>
      <c r="P113" t="s">
        <v>19</v>
      </c>
      <c r="Q113" t="s">
        <v>17</v>
      </c>
      <c r="R113" s="2">
        <f>Table4[[#This Row],[total_followers]]/(Table4[[#This Row],[total_time_streamed]] / 60)</f>
        <v>14991.974317817016</v>
      </c>
      <c r="S113" t="str">
        <f>IF(Table4[[#This Row],[avg_games_per_stream]] &gt; 2, "Variety", "Focused")</f>
        <v>Focused</v>
      </c>
      <c r="T113" s="4">
        <f>Table4[[#This Row],[avg_viewers_per_stream]] / Table4[[#This Row],[total_followers]]</f>
        <v>5.160599571734475E-3</v>
      </c>
    </row>
    <row r="114" spans="1:20">
      <c r="A114">
        <v>114</v>
      </c>
      <c r="B114" t="s">
        <v>198</v>
      </c>
      <c r="C114" t="s">
        <v>3</v>
      </c>
      <c r="D114" t="s">
        <v>39</v>
      </c>
      <c r="E114" t="s">
        <v>199</v>
      </c>
      <c r="F114" t="s">
        <v>53</v>
      </c>
      <c r="G114" s="3">
        <v>8.6999999999999993</v>
      </c>
      <c r="H114">
        <v>2520</v>
      </c>
      <c r="I114">
        <v>38716</v>
      </c>
      <c r="J114">
        <v>1.4</v>
      </c>
      <c r="K114">
        <v>22547</v>
      </c>
      <c r="L114" s="2">
        <v>840000</v>
      </c>
      <c r="M114" s="2">
        <v>113000000</v>
      </c>
      <c r="N114">
        <v>272</v>
      </c>
      <c r="O114">
        <v>6.6</v>
      </c>
      <c r="P114" t="s">
        <v>20</v>
      </c>
      <c r="Q114" t="s">
        <v>16</v>
      </c>
      <c r="R114" s="2">
        <f>Table4[[#This Row],[total_followers]]/(Table4[[#This Row],[total_time_streamed]] / 60)</f>
        <v>2235.3306426575596</v>
      </c>
      <c r="S114" t="str">
        <f>IF(Table4[[#This Row],[avg_games_per_stream]] &gt; 2, "Variety", "Focused")</f>
        <v>Focused</v>
      </c>
      <c r="T114" s="4">
        <f>Table4[[#This Row],[avg_viewers_per_stream]] / Table4[[#This Row],[total_followers]]</f>
        <v>4.6090476190476189E-2</v>
      </c>
    </row>
    <row r="115" spans="1:20">
      <c r="A115">
        <v>115</v>
      </c>
      <c r="B115" t="s">
        <v>200</v>
      </c>
      <c r="C115" t="s">
        <v>6</v>
      </c>
      <c r="D115" t="s">
        <v>39</v>
      </c>
      <c r="E115" t="s">
        <v>66</v>
      </c>
      <c r="F115" t="s">
        <v>56</v>
      </c>
      <c r="G115" s="3">
        <v>7.8</v>
      </c>
      <c r="H115">
        <v>2233</v>
      </c>
      <c r="I115">
        <v>5657</v>
      </c>
      <c r="J115">
        <v>1.5</v>
      </c>
      <c r="K115">
        <v>6787</v>
      </c>
      <c r="L115" s="2">
        <v>1760000</v>
      </c>
      <c r="M115" s="2">
        <v>4450000</v>
      </c>
      <c r="N115">
        <v>33</v>
      </c>
      <c r="O115">
        <v>3</v>
      </c>
      <c r="P115" t="s">
        <v>20</v>
      </c>
      <c r="Q115" t="s">
        <v>18</v>
      </c>
      <c r="R115" s="2">
        <f>Table4[[#This Row],[total_followers]]/(Table4[[#This Row],[total_time_streamed]] / 60)</f>
        <v>15559.157212317667</v>
      </c>
      <c r="S115" t="str">
        <f>IF(Table4[[#This Row],[avg_games_per_stream]] &gt; 2, "Variety", "Focused")</f>
        <v>Focused</v>
      </c>
      <c r="T115" s="4">
        <f>Table4[[#This Row],[avg_viewers_per_stream]] / Table4[[#This Row],[total_followers]]</f>
        <v>3.2142045454545453E-3</v>
      </c>
    </row>
    <row r="116" spans="1:20">
      <c r="A116">
        <v>116</v>
      </c>
      <c r="B116" t="s">
        <v>201</v>
      </c>
      <c r="C116" t="s">
        <v>7</v>
      </c>
      <c r="D116" t="s">
        <v>39</v>
      </c>
      <c r="E116" t="s">
        <v>40</v>
      </c>
      <c r="F116" t="s">
        <v>51</v>
      </c>
      <c r="G116" s="3">
        <v>3.6</v>
      </c>
      <c r="H116">
        <v>8757</v>
      </c>
      <c r="I116">
        <v>6622</v>
      </c>
      <c r="J116">
        <v>2.1</v>
      </c>
      <c r="K116">
        <v>2634</v>
      </c>
      <c r="L116" s="2">
        <v>6060000</v>
      </c>
      <c r="M116" s="2">
        <v>4560000</v>
      </c>
      <c r="N116">
        <v>204</v>
      </c>
      <c r="O116">
        <v>5.6</v>
      </c>
      <c r="P116" t="s">
        <v>17</v>
      </c>
      <c r="Q116" t="s">
        <v>19</v>
      </c>
      <c r="R116" s="2">
        <f>Table4[[#This Row],[total_followers]]/(Table4[[#This Row],[total_time_streamed]] / 60)</f>
        <v>138041.00227790434</v>
      </c>
      <c r="S116" t="str">
        <f>IF(Table4[[#This Row],[avg_games_per_stream]] &gt; 2, "Variety", "Focused")</f>
        <v>Variety</v>
      </c>
      <c r="T116" s="4">
        <f>Table4[[#This Row],[avg_viewers_per_stream]] / Table4[[#This Row],[total_followers]]</f>
        <v>1.0927392739273928E-3</v>
      </c>
    </row>
    <row r="117" spans="1:20">
      <c r="A117">
        <v>117</v>
      </c>
      <c r="B117" t="s">
        <v>202</v>
      </c>
      <c r="C117" t="s">
        <v>3</v>
      </c>
      <c r="D117" t="s">
        <v>39</v>
      </c>
      <c r="E117" t="s">
        <v>40</v>
      </c>
      <c r="F117" t="s">
        <v>74</v>
      </c>
      <c r="G117" s="3">
        <v>3.5</v>
      </c>
      <c r="H117">
        <v>6470</v>
      </c>
      <c r="I117">
        <v>12124</v>
      </c>
      <c r="J117">
        <v>1.4</v>
      </c>
      <c r="K117">
        <v>3465</v>
      </c>
      <c r="L117" s="2">
        <v>634000</v>
      </c>
      <c r="M117" s="2">
        <v>11900000</v>
      </c>
      <c r="N117">
        <v>114</v>
      </c>
      <c r="O117">
        <v>3</v>
      </c>
      <c r="P117" t="s">
        <v>20</v>
      </c>
      <c r="Q117" t="s">
        <v>14</v>
      </c>
      <c r="R117" s="2">
        <f>Table4[[#This Row],[total_followers]]/(Table4[[#This Row],[total_time_streamed]] / 60)</f>
        <v>10978.354978354979</v>
      </c>
      <c r="S117" t="str">
        <f>IF(Table4[[#This Row],[avg_games_per_stream]] &gt; 2, "Variety", "Focused")</f>
        <v>Focused</v>
      </c>
      <c r="T117" s="4">
        <f>Table4[[#This Row],[avg_viewers_per_stream]] / Table4[[#This Row],[total_followers]]</f>
        <v>1.9123028391167193E-2</v>
      </c>
    </row>
    <row r="118" spans="1:20">
      <c r="A118">
        <v>118</v>
      </c>
      <c r="B118" t="s">
        <v>203</v>
      </c>
      <c r="C118" t="s">
        <v>7</v>
      </c>
      <c r="D118" t="s">
        <v>39</v>
      </c>
      <c r="E118" t="s">
        <v>40</v>
      </c>
      <c r="F118" t="s">
        <v>51</v>
      </c>
      <c r="G118" s="3">
        <v>3.1</v>
      </c>
      <c r="H118">
        <v>1067</v>
      </c>
      <c r="I118">
        <v>37943</v>
      </c>
      <c r="J118">
        <v>2.4</v>
      </c>
      <c r="K118">
        <v>3527</v>
      </c>
      <c r="L118" s="2">
        <v>9240000</v>
      </c>
      <c r="M118" s="2">
        <v>32900000</v>
      </c>
      <c r="N118">
        <v>189</v>
      </c>
      <c r="O118">
        <v>3.2</v>
      </c>
      <c r="P118" t="s">
        <v>17</v>
      </c>
      <c r="Q118" t="s">
        <v>17</v>
      </c>
      <c r="R118" s="2">
        <f>Table4[[#This Row],[total_followers]]/(Table4[[#This Row],[total_time_streamed]] / 60)</f>
        <v>157187.4113977885</v>
      </c>
      <c r="S118" t="str">
        <f>IF(Table4[[#This Row],[avg_games_per_stream]] &gt; 2, "Variety", "Focused")</f>
        <v>Variety</v>
      </c>
      <c r="T118" s="4">
        <f>Table4[[#This Row],[avg_viewers_per_stream]] / Table4[[#This Row],[total_followers]]</f>
        <v>4.1063852813852811E-3</v>
      </c>
    </row>
    <row r="119" spans="1:20">
      <c r="A119">
        <v>119</v>
      </c>
      <c r="B119" t="s">
        <v>204</v>
      </c>
      <c r="C119" t="s">
        <v>3</v>
      </c>
      <c r="D119" t="s">
        <v>58</v>
      </c>
      <c r="E119" t="s">
        <v>53</v>
      </c>
      <c r="G119" s="3">
        <v>5.6</v>
      </c>
      <c r="H119">
        <v>1603</v>
      </c>
      <c r="I119">
        <v>147236</v>
      </c>
      <c r="J119">
        <v>1</v>
      </c>
      <c r="K119">
        <v>2844</v>
      </c>
      <c r="L119" s="2">
        <v>803000</v>
      </c>
      <c r="M119" s="2">
        <v>82600000</v>
      </c>
      <c r="N119">
        <v>1</v>
      </c>
      <c r="O119">
        <v>1</v>
      </c>
      <c r="P119" t="s">
        <v>15</v>
      </c>
      <c r="Q119" t="s">
        <v>17</v>
      </c>
      <c r="R119" s="2">
        <f>Table4[[#This Row],[total_followers]]/(Table4[[#This Row],[total_time_streamed]] / 60)</f>
        <v>16940.928270042194</v>
      </c>
      <c r="S119" t="str">
        <f>IF(Table4[[#This Row],[avg_games_per_stream]] &gt; 2, "Variety", "Focused")</f>
        <v>Focused</v>
      </c>
      <c r="T119" s="4">
        <f>Table4[[#This Row],[avg_viewers_per_stream]] / Table4[[#This Row],[total_followers]]</f>
        <v>0.18335740971357409</v>
      </c>
    </row>
    <row r="120" spans="1:20">
      <c r="A120">
        <v>120</v>
      </c>
      <c r="B120" t="s">
        <v>205</v>
      </c>
      <c r="C120" t="s">
        <v>6</v>
      </c>
      <c r="D120" t="s">
        <v>39</v>
      </c>
      <c r="E120" t="s">
        <v>40</v>
      </c>
      <c r="F120" t="s">
        <v>206</v>
      </c>
      <c r="G120" s="3">
        <v>5.6</v>
      </c>
      <c r="H120">
        <v>2462</v>
      </c>
      <c r="I120">
        <v>62004</v>
      </c>
      <c r="J120">
        <v>3</v>
      </c>
      <c r="K120">
        <v>9223</v>
      </c>
      <c r="L120" s="2">
        <v>3360000</v>
      </c>
      <c r="M120" s="2">
        <v>84100000</v>
      </c>
      <c r="N120">
        <v>1151</v>
      </c>
      <c r="O120">
        <v>4.2</v>
      </c>
      <c r="P120" t="s">
        <v>15</v>
      </c>
      <c r="Q120" t="s">
        <v>14</v>
      </c>
      <c r="R120" s="2">
        <f>Table4[[#This Row],[total_followers]]/(Table4[[#This Row],[total_time_streamed]] / 60)</f>
        <v>21858.397484549496</v>
      </c>
      <c r="S120" t="str">
        <f>IF(Table4[[#This Row],[avg_games_per_stream]] &gt; 2, "Variety", "Focused")</f>
        <v>Variety</v>
      </c>
      <c r="T120" s="4">
        <f>Table4[[#This Row],[avg_viewers_per_stream]] / Table4[[#This Row],[total_followers]]</f>
        <v>1.845357142857143E-2</v>
      </c>
    </row>
    <row r="121" spans="1:20">
      <c r="A121">
        <v>121</v>
      </c>
      <c r="B121" t="s">
        <v>207</v>
      </c>
      <c r="C121" t="s">
        <v>3</v>
      </c>
      <c r="D121" t="s">
        <v>39</v>
      </c>
      <c r="E121" t="s">
        <v>74</v>
      </c>
      <c r="F121" t="s">
        <v>40</v>
      </c>
      <c r="G121" s="3">
        <v>4.4000000000000004</v>
      </c>
      <c r="H121">
        <v>4766</v>
      </c>
      <c r="I121">
        <v>78053</v>
      </c>
      <c r="J121">
        <v>1.2</v>
      </c>
      <c r="K121">
        <v>7467</v>
      </c>
      <c r="L121" s="2">
        <v>7540000</v>
      </c>
      <c r="M121" s="2">
        <v>123000000</v>
      </c>
      <c r="N121">
        <v>49</v>
      </c>
      <c r="O121">
        <v>5.5</v>
      </c>
      <c r="P121" t="s">
        <v>19</v>
      </c>
      <c r="Q121" t="s">
        <v>18</v>
      </c>
      <c r="R121" s="2">
        <f>Table4[[#This Row],[total_followers]]/(Table4[[#This Row],[total_time_streamed]] / 60)</f>
        <v>60586.580956207312</v>
      </c>
      <c r="S121" t="str">
        <f>IF(Table4[[#This Row],[avg_games_per_stream]] &gt; 2, "Variety", "Focused")</f>
        <v>Focused</v>
      </c>
      <c r="T121" s="4">
        <f>Table4[[#This Row],[avg_viewers_per_stream]] / Table4[[#This Row],[total_followers]]</f>
        <v>1.035185676392573E-2</v>
      </c>
    </row>
    <row r="122" spans="1:20">
      <c r="A122">
        <v>122</v>
      </c>
      <c r="B122" t="s">
        <v>208</v>
      </c>
      <c r="C122" t="s">
        <v>3</v>
      </c>
      <c r="D122" t="s">
        <v>39</v>
      </c>
      <c r="E122" t="s">
        <v>40</v>
      </c>
      <c r="F122" t="s">
        <v>209</v>
      </c>
      <c r="G122" s="3">
        <v>6.8</v>
      </c>
      <c r="H122">
        <v>4610</v>
      </c>
      <c r="I122">
        <v>33731</v>
      </c>
      <c r="J122">
        <v>2.1</v>
      </c>
      <c r="K122">
        <v>13589</v>
      </c>
      <c r="L122" s="2">
        <v>1280000</v>
      </c>
      <c r="M122" s="2">
        <v>84300000</v>
      </c>
      <c r="N122">
        <v>1121</v>
      </c>
      <c r="O122">
        <v>5.0999999999999996</v>
      </c>
      <c r="P122" t="s">
        <v>16</v>
      </c>
      <c r="Q122" t="s">
        <v>17</v>
      </c>
      <c r="R122" s="2">
        <f>Table4[[#This Row],[total_followers]]/(Table4[[#This Row],[total_time_streamed]] / 60)</f>
        <v>5651.6299948487749</v>
      </c>
      <c r="S122" t="str">
        <f>IF(Table4[[#This Row],[avg_games_per_stream]] &gt; 2, "Variety", "Focused")</f>
        <v>Variety</v>
      </c>
      <c r="T122" s="4">
        <f>Table4[[#This Row],[avg_viewers_per_stream]] / Table4[[#This Row],[total_followers]]</f>
        <v>2.635234375E-2</v>
      </c>
    </row>
    <row r="123" spans="1:20">
      <c r="A123">
        <v>123</v>
      </c>
      <c r="B123" t="s">
        <v>210</v>
      </c>
      <c r="C123" t="s">
        <v>63</v>
      </c>
      <c r="D123" t="s">
        <v>39</v>
      </c>
      <c r="E123" t="s">
        <v>40</v>
      </c>
      <c r="F123" t="s">
        <v>66</v>
      </c>
      <c r="G123" s="3">
        <v>5</v>
      </c>
      <c r="H123">
        <v>2739</v>
      </c>
      <c r="I123">
        <v>1608</v>
      </c>
      <c r="J123">
        <v>1</v>
      </c>
      <c r="K123">
        <v>8130</v>
      </c>
      <c r="L123" s="2">
        <v>471000</v>
      </c>
      <c r="M123" s="2">
        <v>370000</v>
      </c>
      <c r="N123">
        <v>10</v>
      </c>
      <c r="O123">
        <v>0.5</v>
      </c>
      <c r="P123" t="s">
        <v>19</v>
      </c>
      <c r="Q123" t="s">
        <v>14</v>
      </c>
      <c r="R123" s="2">
        <f>Table4[[#This Row],[total_followers]]/(Table4[[#This Row],[total_time_streamed]] / 60)</f>
        <v>3476.0147601476015</v>
      </c>
      <c r="S123" t="str">
        <f>IF(Table4[[#This Row],[avg_games_per_stream]] &gt; 2, "Variety", "Focused")</f>
        <v>Focused</v>
      </c>
      <c r="T123" s="4">
        <f>Table4[[#This Row],[avg_viewers_per_stream]] / Table4[[#This Row],[total_followers]]</f>
        <v>3.4140127388535032E-3</v>
      </c>
    </row>
    <row r="124" spans="1:20">
      <c r="A124">
        <v>124</v>
      </c>
      <c r="B124" t="s">
        <v>211</v>
      </c>
      <c r="C124" t="s">
        <v>7</v>
      </c>
      <c r="D124" t="s">
        <v>39</v>
      </c>
      <c r="E124" t="s">
        <v>46</v>
      </c>
      <c r="F124" t="s">
        <v>40</v>
      </c>
      <c r="G124" s="3">
        <v>6.5</v>
      </c>
      <c r="H124">
        <v>6630</v>
      </c>
      <c r="I124">
        <v>37604</v>
      </c>
      <c r="J124">
        <v>2.4</v>
      </c>
      <c r="K124">
        <v>1295</v>
      </c>
      <c r="L124" s="2">
        <v>1140000</v>
      </c>
      <c r="M124" s="2">
        <v>64400000</v>
      </c>
      <c r="N124">
        <v>724</v>
      </c>
      <c r="O124">
        <v>5.7</v>
      </c>
      <c r="P124" t="s">
        <v>17</v>
      </c>
      <c r="Q124" t="s">
        <v>17</v>
      </c>
      <c r="R124" s="2">
        <f>Table4[[#This Row],[total_followers]]/(Table4[[#This Row],[total_time_streamed]] / 60)</f>
        <v>52818.532818532818</v>
      </c>
      <c r="S124" t="str">
        <f>IF(Table4[[#This Row],[avg_games_per_stream]] &gt; 2, "Variety", "Focused")</f>
        <v>Variety</v>
      </c>
      <c r="T124" s="4">
        <f>Table4[[#This Row],[avg_viewers_per_stream]] / Table4[[#This Row],[total_followers]]</f>
        <v>3.2985964912280702E-2</v>
      </c>
    </row>
    <row r="125" spans="1:20">
      <c r="A125">
        <v>125</v>
      </c>
      <c r="B125" t="s">
        <v>212</v>
      </c>
      <c r="C125" t="s">
        <v>3</v>
      </c>
      <c r="D125" t="s">
        <v>58</v>
      </c>
      <c r="E125" t="s">
        <v>56</v>
      </c>
      <c r="G125" s="3">
        <v>6.5</v>
      </c>
      <c r="H125">
        <v>1084</v>
      </c>
      <c r="I125">
        <v>59976</v>
      </c>
      <c r="J125">
        <v>1</v>
      </c>
      <c r="K125">
        <v>6053</v>
      </c>
      <c r="L125" s="2">
        <v>1240000</v>
      </c>
      <c r="M125" s="2">
        <v>67000000</v>
      </c>
      <c r="N125">
        <v>1</v>
      </c>
      <c r="O125">
        <v>2.4</v>
      </c>
      <c r="P125" t="s">
        <v>19</v>
      </c>
      <c r="Q125" t="s">
        <v>14</v>
      </c>
      <c r="R125" s="2">
        <f>Table4[[#This Row],[total_followers]]/(Table4[[#This Row],[total_time_streamed]] / 60)</f>
        <v>12291.425739302824</v>
      </c>
      <c r="S125" t="str">
        <f>IF(Table4[[#This Row],[avg_games_per_stream]] &gt; 2, "Variety", "Focused")</f>
        <v>Focused</v>
      </c>
      <c r="T125" s="4">
        <f>Table4[[#This Row],[avg_viewers_per_stream]] / Table4[[#This Row],[total_followers]]</f>
        <v>4.836774193548387E-2</v>
      </c>
    </row>
    <row r="126" spans="1:20">
      <c r="A126">
        <v>126</v>
      </c>
      <c r="B126" t="s">
        <v>213</v>
      </c>
      <c r="C126" t="s">
        <v>3</v>
      </c>
      <c r="D126" t="s">
        <v>58</v>
      </c>
      <c r="E126" t="s">
        <v>135</v>
      </c>
      <c r="G126" s="3">
        <v>7.8</v>
      </c>
      <c r="H126">
        <v>1591</v>
      </c>
      <c r="I126">
        <v>10674</v>
      </c>
      <c r="J126">
        <v>1</v>
      </c>
      <c r="K126">
        <v>2297</v>
      </c>
      <c r="L126" s="2">
        <v>576000</v>
      </c>
      <c r="M126" s="2">
        <v>3860000</v>
      </c>
      <c r="N126">
        <v>1</v>
      </c>
      <c r="O126">
        <v>1.6</v>
      </c>
      <c r="P126" t="s">
        <v>15</v>
      </c>
      <c r="Q126" t="s">
        <v>19</v>
      </c>
      <c r="R126" s="2">
        <f>Table4[[#This Row],[total_followers]]/(Table4[[#This Row],[total_time_streamed]] / 60)</f>
        <v>15045.711797997388</v>
      </c>
      <c r="S126" t="str">
        <f>IF(Table4[[#This Row],[avg_games_per_stream]] &gt; 2, "Variety", "Focused")</f>
        <v>Focused</v>
      </c>
      <c r="T126" s="4">
        <f>Table4[[#This Row],[avg_viewers_per_stream]] / Table4[[#This Row],[total_followers]]</f>
        <v>1.8531249999999999E-2</v>
      </c>
    </row>
    <row r="127" spans="1:20">
      <c r="A127">
        <v>127</v>
      </c>
      <c r="B127" t="s">
        <v>214</v>
      </c>
      <c r="C127" t="s">
        <v>61</v>
      </c>
      <c r="D127" t="s">
        <v>39</v>
      </c>
      <c r="E127" t="s">
        <v>74</v>
      </c>
      <c r="F127" t="s">
        <v>215</v>
      </c>
      <c r="G127" s="3">
        <v>6</v>
      </c>
      <c r="H127">
        <v>1611</v>
      </c>
      <c r="I127">
        <v>6778</v>
      </c>
      <c r="J127">
        <v>1.9</v>
      </c>
      <c r="K127">
        <v>12653</v>
      </c>
      <c r="L127" s="2">
        <v>3560000</v>
      </c>
      <c r="M127" s="2">
        <v>148000000</v>
      </c>
      <c r="N127">
        <v>173</v>
      </c>
      <c r="O127">
        <v>5.3</v>
      </c>
      <c r="P127" t="s">
        <v>16</v>
      </c>
      <c r="Q127" t="s">
        <v>20</v>
      </c>
      <c r="R127" s="2">
        <f>Table4[[#This Row],[total_followers]]/(Table4[[#This Row],[total_time_streamed]] / 60)</f>
        <v>16881.372006638743</v>
      </c>
      <c r="S127" t="str">
        <f>IF(Table4[[#This Row],[avg_games_per_stream]] &gt; 2, "Variety", "Focused")</f>
        <v>Focused</v>
      </c>
      <c r="T127" s="4">
        <f>Table4[[#This Row],[avg_viewers_per_stream]] / Table4[[#This Row],[total_followers]]</f>
        <v>1.9039325842696629E-3</v>
      </c>
    </row>
    <row r="128" spans="1:20">
      <c r="A128">
        <v>128</v>
      </c>
      <c r="B128" t="s">
        <v>216</v>
      </c>
      <c r="C128" t="s">
        <v>3</v>
      </c>
      <c r="D128" t="s">
        <v>39</v>
      </c>
      <c r="E128" t="s">
        <v>217</v>
      </c>
      <c r="F128" t="s">
        <v>40</v>
      </c>
      <c r="G128" s="3">
        <v>2.6</v>
      </c>
      <c r="H128">
        <v>7574</v>
      </c>
      <c r="I128">
        <v>0</v>
      </c>
      <c r="J128">
        <v>1.2</v>
      </c>
      <c r="K128">
        <v>3030</v>
      </c>
      <c r="L128" s="2">
        <v>962000</v>
      </c>
      <c r="M128" s="2">
        <v>0</v>
      </c>
      <c r="N128">
        <v>25</v>
      </c>
      <c r="O128">
        <v>2.6</v>
      </c>
      <c r="P128" t="s">
        <v>18</v>
      </c>
      <c r="Q128" t="s">
        <v>20</v>
      </c>
      <c r="R128" s="2">
        <f>Table4[[#This Row],[total_followers]]/(Table4[[#This Row],[total_time_streamed]] / 60)</f>
        <v>19049.504950495051</v>
      </c>
      <c r="S128" t="str">
        <f>IF(Table4[[#This Row],[avg_games_per_stream]] &gt; 2, "Variety", "Focused")</f>
        <v>Focused</v>
      </c>
      <c r="T128" s="4">
        <f>Table4[[#This Row],[avg_viewers_per_stream]] / Table4[[#This Row],[total_followers]]</f>
        <v>0</v>
      </c>
    </row>
    <row r="129" spans="1:20">
      <c r="A129">
        <v>129</v>
      </c>
      <c r="B129" t="s">
        <v>218</v>
      </c>
      <c r="C129" t="s">
        <v>3</v>
      </c>
      <c r="D129" t="s">
        <v>39</v>
      </c>
      <c r="E129" t="s">
        <v>40</v>
      </c>
      <c r="F129" t="s">
        <v>51</v>
      </c>
      <c r="G129" s="3">
        <v>5.6</v>
      </c>
      <c r="H129">
        <v>1699</v>
      </c>
      <c r="I129">
        <v>1866</v>
      </c>
      <c r="J129">
        <v>2</v>
      </c>
      <c r="K129">
        <v>7369</v>
      </c>
      <c r="L129" s="2">
        <v>1960000</v>
      </c>
      <c r="M129" s="2">
        <v>21500000</v>
      </c>
      <c r="N129">
        <v>393</v>
      </c>
      <c r="O129">
        <v>4.3</v>
      </c>
      <c r="P129" t="s">
        <v>18</v>
      </c>
      <c r="Q129" t="s">
        <v>18</v>
      </c>
      <c r="R129" s="2">
        <f>Table4[[#This Row],[total_followers]]/(Table4[[#This Row],[total_time_streamed]] / 60)</f>
        <v>15958.746098520831</v>
      </c>
      <c r="S129" t="str">
        <f>IF(Table4[[#This Row],[avg_games_per_stream]] &gt; 2, "Variety", "Focused")</f>
        <v>Focused</v>
      </c>
      <c r="T129" s="4">
        <f>Table4[[#This Row],[avg_viewers_per_stream]] / Table4[[#This Row],[total_followers]]</f>
        <v>9.520408163265306E-4</v>
      </c>
    </row>
    <row r="130" spans="1:20">
      <c r="A130">
        <v>130</v>
      </c>
      <c r="B130" t="s">
        <v>219</v>
      </c>
      <c r="C130" t="s">
        <v>3</v>
      </c>
      <c r="D130" t="s">
        <v>39</v>
      </c>
      <c r="E130" t="s">
        <v>40</v>
      </c>
      <c r="F130" t="s">
        <v>220</v>
      </c>
      <c r="G130" s="3">
        <v>4.5</v>
      </c>
      <c r="H130">
        <v>1035</v>
      </c>
      <c r="I130">
        <v>2200</v>
      </c>
      <c r="J130">
        <v>1.7</v>
      </c>
      <c r="K130">
        <v>3208</v>
      </c>
      <c r="L130" s="2">
        <v>735000</v>
      </c>
      <c r="M130" s="2">
        <v>157000</v>
      </c>
      <c r="N130">
        <v>66</v>
      </c>
      <c r="O130">
        <v>4.5</v>
      </c>
      <c r="P130" t="s">
        <v>16</v>
      </c>
      <c r="Q130" t="s">
        <v>16</v>
      </c>
      <c r="R130" s="2">
        <f>Table4[[#This Row],[total_followers]]/(Table4[[#This Row],[total_time_streamed]] / 60)</f>
        <v>13746.882793017456</v>
      </c>
      <c r="S130" t="str">
        <f>IF(Table4[[#This Row],[avg_games_per_stream]] &gt; 2, "Variety", "Focused")</f>
        <v>Focused</v>
      </c>
      <c r="T130" s="4">
        <f>Table4[[#This Row],[avg_viewers_per_stream]] / Table4[[#This Row],[total_followers]]</f>
        <v>2.9931972789115648E-3</v>
      </c>
    </row>
    <row r="131" spans="1:20">
      <c r="A131">
        <v>131</v>
      </c>
      <c r="B131" t="s">
        <v>221</v>
      </c>
      <c r="C131" t="s">
        <v>63</v>
      </c>
      <c r="D131" t="s">
        <v>39</v>
      </c>
      <c r="E131" t="s">
        <v>40</v>
      </c>
      <c r="F131" t="s">
        <v>56</v>
      </c>
      <c r="G131" s="3">
        <v>4.2</v>
      </c>
      <c r="H131">
        <v>8330</v>
      </c>
      <c r="I131">
        <v>26405</v>
      </c>
      <c r="J131">
        <v>2.2000000000000002</v>
      </c>
      <c r="K131">
        <v>6441</v>
      </c>
      <c r="L131" s="2">
        <v>1410000</v>
      </c>
      <c r="M131" s="2">
        <v>44700000</v>
      </c>
      <c r="N131">
        <v>422</v>
      </c>
      <c r="O131">
        <v>4.9000000000000004</v>
      </c>
      <c r="P131" t="s">
        <v>15</v>
      </c>
      <c r="Q131" t="s">
        <v>18</v>
      </c>
      <c r="R131" s="2">
        <f>Table4[[#This Row],[total_followers]]/(Table4[[#This Row],[total_time_streamed]] / 60)</f>
        <v>13134.606427573359</v>
      </c>
      <c r="S131" t="str">
        <f>IF(Table4[[#This Row],[avg_games_per_stream]] &gt; 2, "Variety", "Focused")</f>
        <v>Variety</v>
      </c>
      <c r="T131" s="4">
        <f>Table4[[#This Row],[avg_viewers_per_stream]] / Table4[[#This Row],[total_followers]]</f>
        <v>1.8726950354609927E-2</v>
      </c>
    </row>
    <row r="132" spans="1:20">
      <c r="A132">
        <v>132</v>
      </c>
      <c r="B132" t="s">
        <v>222</v>
      </c>
      <c r="C132" t="s">
        <v>3</v>
      </c>
      <c r="D132" t="s">
        <v>39</v>
      </c>
      <c r="E132" t="s">
        <v>223</v>
      </c>
      <c r="F132" t="s">
        <v>224</v>
      </c>
      <c r="G132" s="3">
        <v>8.1</v>
      </c>
      <c r="H132">
        <v>1370</v>
      </c>
      <c r="I132">
        <v>25834</v>
      </c>
      <c r="J132">
        <v>2.1</v>
      </c>
      <c r="K132">
        <v>18785</v>
      </c>
      <c r="L132" s="2">
        <v>481000</v>
      </c>
      <c r="M132" s="2">
        <v>70400000</v>
      </c>
      <c r="N132">
        <v>1148</v>
      </c>
      <c r="O132">
        <v>5.9</v>
      </c>
      <c r="P132" t="s">
        <v>19</v>
      </c>
      <c r="Q132" t="s">
        <v>14</v>
      </c>
      <c r="R132" s="2">
        <f>Table4[[#This Row],[total_followers]]/(Table4[[#This Row],[total_time_streamed]] / 60)</f>
        <v>1536.332179930796</v>
      </c>
      <c r="S132" t="str">
        <f>IF(Table4[[#This Row],[avg_games_per_stream]] &gt; 2, "Variety", "Focused")</f>
        <v>Variety</v>
      </c>
      <c r="T132" s="4">
        <f>Table4[[#This Row],[avg_viewers_per_stream]] / Table4[[#This Row],[total_followers]]</f>
        <v>5.370893970893971E-2</v>
      </c>
    </row>
    <row r="133" spans="1:20">
      <c r="A133">
        <v>133</v>
      </c>
      <c r="B133" t="s">
        <v>225</v>
      </c>
      <c r="C133" t="s">
        <v>61</v>
      </c>
      <c r="D133" t="s">
        <v>39</v>
      </c>
      <c r="E133" t="s">
        <v>40</v>
      </c>
      <c r="F133" t="s">
        <v>226</v>
      </c>
      <c r="G133" s="3">
        <v>4.5999999999999996</v>
      </c>
      <c r="H133">
        <v>1766</v>
      </c>
      <c r="I133">
        <v>40784</v>
      </c>
      <c r="J133">
        <v>1.5</v>
      </c>
      <c r="K133">
        <v>14505</v>
      </c>
      <c r="L133" s="2">
        <v>2340000</v>
      </c>
      <c r="M133" s="2">
        <v>68700000</v>
      </c>
      <c r="N133">
        <v>48</v>
      </c>
      <c r="O133">
        <v>3.7</v>
      </c>
      <c r="P133" t="s">
        <v>20</v>
      </c>
      <c r="Q133" t="s">
        <v>15</v>
      </c>
      <c r="R133" s="2">
        <f>Table4[[#This Row],[total_followers]]/(Table4[[#This Row],[total_time_streamed]] / 60)</f>
        <v>9679.4208893485011</v>
      </c>
      <c r="S133" t="str">
        <f>IF(Table4[[#This Row],[avg_games_per_stream]] &gt; 2, "Variety", "Focused")</f>
        <v>Focused</v>
      </c>
      <c r="T133" s="4">
        <f>Table4[[#This Row],[avg_viewers_per_stream]] / Table4[[#This Row],[total_followers]]</f>
        <v>1.7429059829059828E-2</v>
      </c>
    </row>
    <row r="134" spans="1:20">
      <c r="A134">
        <v>134</v>
      </c>
      <c r="B134" t="s">
        <v>227</v>
      </c>
      <c r="C134" t="s">
        <v>3</v>
      </c>
      <c r="D134" t="s">
        <v>39</v>
      </c>
      <c r="E134" t="s">
        <v>40</v>
      </c>
      <c r="F134" t="s">
        <v>66</v>
      </c>
      <c r="G134" s="3">
        <v>4.9000000000000004</v>
      </c>
      <c r="H134">
        <v>2738</v>
      </c>
      <c r="I134">
        <v>6160</v>
      </c>
      <c r="J134">
        <v>2.1</v>
      </c>
      <c r="K134">
        <v>3487</v>
      </c>
      <c r="L134" s="2">
        <v>1560000</v>
      </c>
      <c r="M134" s="2">
        <v>361000</v>
      </c>
      <c r="N134">
        <v>140</v>
      </c>
      <c r="O134">
        <v>1.8</v>
      </c>
      <c r="P134" t="s">
        <v>20</v>
      </c>
      <c r="Q134" t="s">
        <v>17</v>
      </c>
      <c r="R134" s="2">
        <f>Table4[[#This Row],[total_followers]]/(Table4[[#This Row],[total_time_streamed]] / 60)</f>
        <v>26842.558072841985</v>
      </c>
      <c r="S134" t="str">
        <f>IF(Table4[[#This Row],[avg_games_per_stream]] &gt; 2, "Variety", "Focused")</f>
        <v>Variety</v>
      </c>
      <c r="T134" s="4">
        <f>Table4[[#This Row],[avg_viewers_per_stream]] / Table4[[#This Row],[total_followers]]</f>
        <v>3.9487179487179488E-3</v>
      </c>
    </row>
    <row r="135" spans="1:20">
      <c r="A135">
        <v>135</v>
      </c>
      <c r="B135" t="s">
        <v>228</v>
      </c>
      <c r="C135" t="s">
        <v>229</v>
      </c>
      <c r="D135" t="s">
        <v>39</v>
      </c>
      <c r="E135" t="s">
        <v>54</v>
      </c>
      <c r="F135" t="s">
        <v>40</v>
      </c>
      <c r="G135" s="3">
        <v>4.8</v>
      </c>
      <c r="H135">
        <v>1556</v>
      </c>
      <c r="I135">
        <v>75799</v>
      </c>
      <c r="J135">
        <v>2.5</v>
      </c>
      <c r="K135">
        <v>8948</v>
      </c>
      <c r="L135" s="2">
        <v>2930000</v>
      </c>
      <c r="M135" s="2">
        <v>142000000</v>
      </c>
      <c r="N135">
        <v>260</v>
      </c>
      <c r="O135">
        <v>4.8</v>
      </c>
      <c r="P135" t="s">
        <v>18</v>
      </c>
      <c r="Q135" t="s">
        <v>17</v>
      </c>
      <c r="R135" s="2">
        <f>Table4[[#This Row],[total_followers]]/(Table4[[#This Row],[total_time_streamed]] / 60)</f>
        <v>19646.848457755925</v>
      </c>
      <c r="S135" t="str">
        <f>IF(Table4[[#This Row],[avg_games_per_stream]] &gt; 2, "Variety", "Focused")</f>
        <v>Variety</v>
      </c>
      <c r="T135" s="4">
        <f>Table4[[#This Row],[avg_viewers_per_stream]] / Table4[[#This Row],[total_followers]]</f>
        <v>2.5869965870307168E-2</v>
      </c>
    </row>
    <row r="136" spans="1:20">
      <c r="A136">
        <v>136</v>
      </c>
      <c r="B136" t="s">
        <v>230</v>
      </c>
      <c r="C136" t="s">
        <v>61</v>
      </c>
      <c r="D136" t="s">
        <v>39</v>
      </c>
      <c r="E136" t="s">
        <v>145</v>
      </c>
      <c r="F136" t="s">
        <v>193</v>
      </c>
      <c r="G136" s="3">
        <v>5.0999999999999996</v>
      </c>
      <c r="H136">
        <v>1325</v>
      </c>
      <c r="I136">
        <v>9215</v>
      </c>
      <c r="J136">
        <v>1.5</v>
      </c>
      <c r="K136">
        <v>2207</v>
      </c>
      <c r="L136" s="2">
        <v>570000</v>
      </c>
      <c r="M136" s="2">
        <v>3620000</v>
      </c>
      <c r="N136">
        <v>22</v>
      </c>
      <c r="O136">
        <v>3.5</v>
      </c>
      <c r="P136" t="s">
        <v>18</v>
      </c>
      <c r="Q136" t="s">
        <v>17</v>
      </c>
      <c r="R136" s="2">
        <f>Table4[[#This Row],[total_followers]]/(Table4[[#This Row],[total_time_streamed]] / 60)</f>
        <v>15496.148618033531</v>
      </c>
      <c r="S136" t="str">
        <f>IF(Table4[[#This Row],[avg_games_per_stream]] &gt; 2, "Variety", "Focused")</f>
        <v>Focused</v>
      </c>
      <c r="T136" s="4">
        <f>Table4[[#This Row],[avg_viewers_per_stream]] / Table4[[#This Row],[total_followers]]</f>
        <v>1.6166666666666666E-2</v>
      </c>
    </row>
    <row r="137" spans="1:20">
      <c r="A137">
        <v>137</v>
      </c>
      <c r="B137" t="s">
        <v>231</v>
      </c>
      <c r="C137" t="s">
        <v>3</v>
      </c>
      <c r="D137" t="s">
        <v>39</v>
      </c>
      <c r="E137" t="s">
        <v>53</v>
      </c>
      <c r="F137" t="s">
        <v>40</v>
      </c>
      <c r="G137" s="3">
        <v>8.6</v>
      </c>
      <c r="H137">
        <v>5880</v>
      </c>
      <c r="I137">
        <v>35686</v>
      </c>
      <c r="J137">
        <v>2.1</v>
      </c>
      <c r="K137">
        <v>18613</v>
      </c>
      <c r="L137" s="2">
        <v>1350000</v>
      </c>
      <c r="M137" s="2">
        <v>81900000</v>
      </c>
      <c r="N137">
        <v>327</v>
      </c>
      <c r="O137">
        <v>6.2</v>
      </c>
      <c r="P137" t="s">
        <v>20</v>
      </c>
      <c r="Q137" t="s">
        <v>16</v>
      </c>
      <c r="R137" s="2">
        <f>Table4[[#This Row],[total_followers]]/(Table4[[#This Row],[total_time_streamed]] / 60)</f>
        <v>4351.7971310374469</v>
      </c>
      <c r="S137" t="str">
        <f>IF(Table4[[#This Row],[avg_games_per_stream]] &gt; 2, "Variety", "Focused")</f>
        <v>Variety</v>
      </c>
      <c r="T137" s="4">
        <f>Table4[[#This Row],[avg_viewers_per_stream]] / Table4[[#This Row],[total_followers]]</f>
        <v>2.6434074074074075E-2</v>
      </c>
    </row>
    <row r="138" spans="1:20">
      <c r="A138">
        <v>138</v>
      </c>
      <c r="B138" t="s">
        <v>232</v>
      </c>
      <c r="C138" t="s">
        <v>4</v>
      </c>
      <c r="D138" t="s">
        <v>39</v>
      </c>
      <c r="E138" t="s">
        <v>74</v>
      </c>
      <c r="F138" t="s">
        <v>233</v>
      </c>
      <c r="G138" s="3">
        <v>4.7</v>
      </c>
      <c r="H138">
        <v>5850</v>
      </c>
      <c r="I138">
        <v>8528</v>
      </c>
      <c r="J138">
        <v>1.2</v>
      </c>
      <c r="K138">
        <v>4951</v>
      </c>
      <c r="L138" s="2">
        <v>649000</v>
      </c>
      <c r="M138" s="2">
        <v>9460000</v>
      </c>
      <c r="N138">
        <v>57</v>
      </c>
      <c r="O138">
        <v>3.4</v>
      </c>
      <c r="P138" t="s">
        <v>15</v>
      </c>
      <c r="Q138" t="s">
        <v>14</v>
      </c>
      <c r="R138" s="2">
        <f>Table4[[#This Row],[total_followers]]/(Table4[[#This Row],[total_time_streamed]] / 60)</f>
        <v>7865.0777620682693</v>
      </c>
      <c r="S138" t="str">
        <f>IF(Table4[[#This Row],[avg_games_per_stream]] &gt; 2, "Variety", "Focused")</f>
        <v>Focused</v>
      </c>
      <c r="T138" s="4">
        <f>Table4[[#This Row],[avg_viewers_per_stream]] / Table4[[#This Row],[total_followers]]</f>
        <v>1.3140215716486903E-2</v>
      </c>
    </row>
    <row r="139" spans="1:20">
      <c r="A139">
        <v>139</v>
      </c>
      <c r="B139" t="s">
        <v>234</v>
      </c>
      <c r="C139" t="s">
        <v>6</v>
      </c>
      <c r="D139" t="s">
        <v>39</v>
      </c>
      <c r="E139" t="s">
        <v>66</v>
      </c>
      <c r="F139" t="s">
        <v>40</v>
      </c>
      <c r="G139" s="3">
        <v>8.6999999999999993</v>
      </c>
      <c r="H139">
        <v>1854</v>
      </c>
      <c r="I139">
        <v>12474</v>
      </c>
      <c r="J139">
        <v>1.6</v>
      </c>
      <c r="K139">
        <v>8848</v>
      </c>
      <c r="L139" s="2">
        <v>1970000</v>
      </c>
      <c r="M139" s="2">
        <v>13400000</v>
      </c>
      <c r="N139">
        <v>71</v>
      </c>
      <c r="O139">
        <v>2.6</v>
      </c>
      <c r="P139" t="s">
        <v>18</v>
      </c>
      <c r="Q139" t="s">
        <v>19</v>
      </c>
      <c r="R139" s="2">
        <f>Table4[[#This Row],[total_followers]]/(Table4[[#This Row],[total_time_streamed]] / 60)</f>
        <v>13358.951175406872</v>
      </c>
      <c r="S139" t="str">
        <f>IF(Table4[[#This Row],[avg_games_per_stream]] &gt; 2, "Variety", "Focused")</f>
        <v>Focused</v>
      </c>
      <c r="T139" s="4">
        <f>Table4[[#This Row],[avg_viewers_per_stream]] / Table4[[#This Row],[total_followers]]</f>
        <v>6.3319796954314717E-3</v>
      </c>
    </row>
    <row r="140" spans="1:20">
      <c r="A140">
        <v>140</v>
      </c>
      <c r="B140" t="s">
        <v>235</v>
      </c>
      <c r="C140" t="s">
        <v>3</v>
      </c>
      <c r="D140" t="s">
        <v>39</v>
      </c>
      <c r="E140" t="s">
        <v>66</v>
      </c>
      <c r="F140" t="s">
        <v>54</v>
      </c>
      <c r="G140" s="3">
        <v>7.1</v>
      </c>
      <c r="H140">
        <v>4660</v>
      </c>
      <c r="I140">
        <v>32957</v>
      </c>
      <c r="J140">
        <v>1.2</v>
      </c>
      <c r="K140">
        <v>9943</v>
      </c>
      <c r="L140" s="2">
        <v>589000</v>
      </c>
      <c r="M140" s="2">
        <v>41700000</v>
      </c>
      <c r="N140">
        <v>56</v>
      </c>
      <c r="O140">
        <v>3.9</v>
      </c>
      <c r="P140" t="s">
        <v>19</v>
      </c>
      <c r="Q140" t="s">
        <v>19</v>
      </c>
      <c r="R140" s="2">
        <f>Table4[[#This Row],[total_followers]]/(Table4[[#This Row],[total_time_streamed]] / 60)</f>
        <v>3554.2592778839385</v>
      </c>
      <c r="S140" t="str">
        <f>IF(Table4[[#This Row],[avg_games_per_stream]] &gt; 2, "Variety", "Focused")</f>
        <v>Focused</v>
      </c>
      <c r="T140" s="4">
        <f>Table4[[#This Row],[avg_viewers_per_stream]] / Table4[[#This Row],[total_followers]]</f>
        <v>5.5954159592529709E-2</v>
      </c>
    </row>
    <row r="141" spans="1:20">
      <c r="A141">
        <v>141</v>
      </c>
      <c r="B141" t="s">
        <v>236</v>
      </c>
      <c r="C141" t="s">
        <v>160</v>
      </c>
      <c r="D141" t="s">
        <v>39</v>
      </c>
      <c r="E141" t="s">
        <v>40</v>
      </c>
      <c r="F141" t="s">
        <v>66</v>
      </c>
      <c r="G141" s="3">
        <v>4.5</v>
      </c>
      <c r="H141">
        <v>8840</v>
      </c>
      <c r="I141">
        <v>6828</v>
      </c>
      <c r="J141">
        <v>2.5</v>
      </c>
      <c r="K141">
        <v>305</v>
      </c>
      <c r="L141" s="2">
        <v>562000</v>
      </c>
      <c r="M141" s="2">
        <v>4310000</v>
      </c>
      <c r="N141">
        <v>136</v>
      </c>
      <c r="O141">
        <v>4.0999999999999996</v>
      </c>
      <c r="P141" t="s">
        <v>19</v>
      </c>
      <c r="Q141" t="s">
        <v>15</v>
      </c>
      <c r="R141" s="2">
        <f>Table4[[#This Row],[total_followers]]/(Table4[[#This Row],[total_time_streamed]] / 60)</f>
        <v>110557.37704918033</v>
      </c>
      <c r="S141" t="str">
        <f>IF(Table4[[#This Row],[avg_games_per_stream]] &gt; 2, "Variety", "Focused")</f>
        <v>Variety</v>
      </c>
      <c r="T141" s="4">
        <f>Table4[[#This Row],[avg_viewers_per_stream]] / Table4[[#This Row],[total_followers]]</f>
        <v>1.2149466192170819E-2</v>
      </c>
    </row>
    <row r="142" spans="1:20">
      <c r="A142">
        <v>142</v>
      </c>
      <c r="B142" t="s">
        <v>237</v>
      </c>
      <c r="C142" t="s">
        <v>61</v>
      </c>
      <c r="D142" t="s">
        <v>39</v>
      </c>
      <c r="E142" t="s">
        <v>40</v>
      </c>
      <c r="F142" t="s">
        <v>238</v>
      </c>
      <c r="G142" s="3">
        <v>4.2</v>
      </c>
      <c r="H142">
        <v>3015</v>
      </c>
      <c r="I142">
        <v>33173</v>
      </c>
      <c r="J142">
        <v>1.3</v>
      </c>
      <c r="K142">
        <v>8930</v>
      </c>
      <c r="L142" s="2">
        <v>656000</v>
      </c>
      <c r="M142" s="2">
        <v>7100000</v>
      </c>
      <c r="N142">
        <v>30</v>
      </c>
      <c r="O142">
        <v>1.2</v>
      </c>
      <c r="P142" t="s">
        <v>14</v>
      </c>
      <c r="Q142" t="s">
        <v>15</v>
      </c>
      <c r="R142" s="2">
        <f>Table4[[#This Row],[total_followers]]/(Table4[[#This Row],[total_time_streamed]] / 60)</f>
        <v>4407.6147816349385</v>
      </c>
      <c r="S142" t="str">
        <f>IF(Table4[[#This Row],[avg_games_per_stream]] &gt; 2, "Variety", "Focused")</f>
        <v>Focused</v>
      </c>
      <c r="T142" s="4">
        <f>Table4[[#This Row],[avg_viewers_per_stream]] / Table4[[#This Row],[total_followers]]</f>
        <v>5.0568597560975613E-2</v>
      </c>
    </row>
    <row r="143" spans="1:20">
      <c r="A143">
        <v>143</v>
      </c>
      <c r="B143" t="s">
        <v>239</v>
      </c>
      <c r="C143" t="s">
        <v>3</v>
      </c>
      <c r="D143" t="s">
        <v>39</v>
      </c>
      <c r="E143" t="s">
        <v>199</v>
      </c>
      <c r="F143" t="s">
        <v>240</v>
      </c>
      <c r="G143" s="3">
        <v>7.4</v>
      </c>
      <c r="H143">
        <v>1670</v>
      </c>
      <c r="I143">
        <v>32809</v>
      </c>
      <c r="J143">
        <v>1.2</v>
      </c>
      <c r="K143">
        <v>20458</v>
      </c>
      <c r="L143" s="2">
        <v>1570000</v>
      </c>
      <c r="M143" s="2">
        <v>223000000</v>
      </c>
      <c r="N143">
        <v>907</v>
      </c>
      <c r="O143">
        <v>7</v>
      </c>
      <c r="P143" t="s">
        <v>18</v>
      </c>
      <c r="Q143" t="s">
        <v>20</v>
      </c>
      <c r="R143" s="2">
        <f>Table4[[#This Row],[total_followers]]/(Table4[[#This Row],[total_time_streamed]] / 60)</f>
        <v>4604.555675041549</v>
      </c>
      <c r="S143" t="str">
        <f>IF(Table4[[#This Row],[avg_games_per_stream]] &gt; 2, "Variety", "Focused")</f>
        <v>Focused</v>
      </c>
      <c r="T143" s="4">
        <f>Table4[[#This Row],[avg_viewers_per_stream]] / Table4[[#This Row],[total_followers]]</f>
        <v>2.0897452229299365E-2</v>
      </c>
    </row>
    <row r="144" spans="1:20">
      <c r="A144">
        <v>144</v>
      </c>
      <c r="B144" t="s">
        <v>241</v>
      </c>
      <c r="C144" t="s">
        <v>3</v>
      </c>
      <c r="D144" t="s">
        <v>39</v>
      </c>
      <c r="E144" t="s">
        <v>40</v>
      </c>
      <c r="F144" t="s">
        <v>54</v>
      </c>
      <c r="G144" s="3">
        <v>6</v>
      </c>
      <c r="H144">
        <v>5780</v>
      </c>
      <c r="I144">
        <v>20</v>
      </c>
      <c r="J144">
        <v>2.5</v>
      </c>
      <c r="K144">
        <v>3121</v>
      </c>
      <c r="L144" s="2">
        <v>302000</v>
      </c>
      <c r="M144" s="2">
        <v>1200</v>
      </c>
      <c r="N144">
        <v>158</v>
      </c>
      <c r="O144">
        <v>1.7</v>
      </c>
      <c r="P144" t="s">
        <v>20</v>
      </c>
      <c r="Q144" t="s">
        <v>16</v>
      </c>
      <c r="R144" s="2">
        <f>Table4[[#This Row],[total_followers]]/(Table4[[#This Row],[total_time_streamed]] / 60)</f>
        <v>5805.8314642742707</v>
      </c>
      <c r="S144" t="str">
        <f>IF(Table4[[#This Row],[avg_games_per_stream]] &gt; 2, "Variety", "Focused")</f>
        <v>Variety</v>
      </c>
      <c r="T144" s="4">
        <f>Table4[[#This Row],[avg_viewers_per_stream]] / Table4[[#This Row],[total_followers]]</f>
        <v>6.6225165562913907E-5</v>
      </c>
    </row>
    <row r="145" spans="1:20">
      <c r="A145">
        <v>145</v>
      </c>
      <c r="B145" t="s">
        <v>242</v>
      </c>
      <c r="C145" t="s">
        <v>5</v>
      </c>
      <c r="D145" t="s">
        <v>39</v>
      </c>
      <c r="E145" t="s">
        <v>66</v>
      </c>
      <c r="F145" t="s">
        <v>233</v>
      </c>
      <c r="G145" s="3">
        <v>8.1999999999999993</v>
      </c>
      <c r="H145">
        <v>8340</v>
      </c>
      <c r="I145">
        <v>0</v>
      </c>
      <c r="J145">
        <v>1.2</v>
      </c>
      <c r="K145">
        <v>1426</v>
      </c>
      <c r="L145" s="2">
        <v>164000</v>
      </c>
      <c r="M145" s="2">
        <v>0</v>
      </c>
      <c r="N145">
        <v>34</v>
      </c>
      <c r="O145">
        <v>1.9</v>
      </c>
      <c r="P145" t="s">
        <v>17</v>
      </c>
      <c r="Q145" t="s">
        <v>14</v>
      </c>
      <c r="R145" s="2">
        <f>Table4[[#This Row],[total_followers]]/(Table4[[#This Row],[total_time_streamed]] / 60)</f>
        <v>6900.4207573632539</v>
      </c>
      <c r="S145" t="str">
        <f>IF(Table4[[#This Row],[avg_games_per_stream]] &gt; 2, "Variety", "Focused")</f>
        <v>Focused</v>
      </c>
      <c r="T145" s="4">
        <f>Table4[[#This Row],[avg_viewers_per_stream]] / Table4[[#This Row],[total_followers]]</f>
        <v>0</v>
      </c>
    </row>
    <row r="146" spans="1:20">
      <c r="A146">
        <v>146</v>
      </c>
      <c r="B146" t="s">
        <v>243</v>
      </c>
      <c r="C146" t="s">
        <v>3</v>
      </c>
      <c r="D146" t="s">
        <v>39</v>
      </c>
      <c r="E146" t="s">
        <v>244</v>
      </c>
      <c r="F146" t="s">
        <v>245</v>
      </c>
      <c r="G146" s="3">
        <v>3.5</v>
      </c>
      <c r="H146">
        <v>1038</v>
      </c>
      <c r="I146">
        <v>4090</v>
      </c>
      <c r="J146">
        <v>1.5</v>
      </c>
      <c r="K146">
        <v>6262</v>
      </c>
      <c r="L146" s="2">
        <v>1480000</v>
      </c>
      <c r="M146" s="2">
        <v>639000</v>
      </c>
      <c r="N146">
        <v>227</v>
      </c>
      <c r="O146">
        <v>4.5999999999999996</v>
      </c>
      <c r="P146" t="s">
        <v>14</v>
      </c>
      <c r="Q146" t="s">
        <v>18</v>
      </c>
      <c r="R146" s="2">
        <f>Table4[[#This Row],[total_followers]]/(Table4[[#This Row],[total_time_streamed]] / 60)</f>
        <v>14180.772916001279</v>
      </c>
      <c r="S146" t="str">
        <f>IF(Table4[[#This Row],[avg_games_per_stream]] &gt; 2, "Variety", "Focused")</f>
        <v>Focused</v>
      </c>
      <c r="T146" s="4">
        <f>Table4[[#This Row],[avg_viewers_per_stream]] / Table4[[#This Row],[total_followers]]</f>
        <v>2.7635135135135134E-3</v>
      </c>
    </row>
    <row r="147" spans="1:20">
      <c r="A147">
        <v>147</v>
      </c>
      <c r="B147" t="s">
        <v>246</v>
      </c>
      <c r="C147" t="s">
        <v>5</v>
      </c>
      <c r="D147" t="s">
        <v>39</v>
      </c>
      <c r="E147" t="s">
        <v>54</v>
      </c>
      <c r="F147" t="s">
        <v>46</v>
      </c>
      <c r="G147" s="3">
        <v>6.6</v>
      </c>
      <c r="H147">
        <v>4480</v>
      </c>
      <c r="I147">
        <v>23844</v>
      </c>
      <c r="J147">
        <v>1.3</v>
      </c>
      <c r="K147">
        <v>897</v>
      </c>
      <c r="L147" s="2">
        <v>613000</v>
      </c>
      <c r="M147" s="2">
        <v>32600000</v>
      </c>
      <c r="N147">
        <v>117</v>
      </c>
      <c r="O147">
        <v>3.5</v>
      </c>
      <c r="P147" t="s">
        <v>15</v>
      </c>
      <c r="Q147" t="s">
        <v>14</v>
      </c>
      <c r="R147" s="2">
        <f>Table4[[#This Row],[total_followers]]/(Table4[[#This Row],[total_time_streamed]] / 60)</f>
        <v>41003.344481605352</v>
      </c>
      <c r="S147" t="str">
        <f>IF(Table4[[#This Row],[avg_games_per_stream]] &gt; 2, "Variety", "Focused")</f>
        <v>Focused</v>
      </c>
      <c r="T147" s="4">
        <f>Table4[[#This Row],[avg_viewers_per_stream]] / Table4[[#This Row],[total_followers]]</f>
        <v>3.8897226753670473E-2</v>
      </c>
    </row>
    <row r="148" spans="1:20">
      <c r="A148">
        <v>148</v>
      </c>
      <c r="B148" t="s">
        <v>247</v>
      </c>
      <c r="C148" t="s">
        <v>248</v>
      </c>
      <c r="D148" t="s">
        <v>39</v>
      </c>
      <c r="E148" t="s">
        <v>40</v>
      </c>
      <c r="F148" t="s">
        <v>56</v>
      </c>
      <c r="G148" s="3">
        <v>2.6</v>
      </c>
      <c r="H148">
        <v>1597</v>
      </c>
      <c r="I148">
        <v>20</v>
      </c>
      <c r="J148">
        <v>1.1000000000000001</v>
      </c>
      <c r="K148">
        <v>5420</v>
      </c>
      <c r="L148" s="2">
        <v>332000</v>
      </c>
      <c r="M148" s="2">
        <v>7700</v>
      </c>
      <c r="N148">
        <v>12</v>
      </c>
      <c r="O148">
        <v>1</v>
      </c>
      <c r="P148" t="s">
        <v>17</v>
      </c>
      <c r="Q148" t="s">
        <v>14</v>
      </c>
      <c r="R148" s="2">
        <f>Table4[[#This Row],[total_followers]]/(Table4[[#This Row],[total_time_streamed]] / 60)</f>
        <v>3675.2767527675278</v>
      </c>
      <c r="S148" t="str">
        <f>IF(Table4[[#This Row],[avg_games_per_stream]] &gt; 2, "Variety", "Focused")</f>
        <v>Focused</v>
      </c>
      <c r="T148" s="4">
        <f>Table4[[#This Row],[avg_viewers_per_stream]] / Table4[[#This Row],[total_followers]]</f>
        <v>6.0240963855421684E-5</v>
      </c>
    </row>
    <row r="149" spans="1:20">
      <c r="A149">
        <v>149</v>
      </c>
      <c r="B149" t="s">
        <v>249</v>
      </c>
      <c r="C149" t="s">
        <v>5</v>
      </c>
      <c r="D149" t="s">
        <v>58</v>
      </c>
      <c r="E149" t="s">
        <v>46</v>
      </c>
      <c r="F149" t="s">
        <v>59</v>
      </c>
      <c r="G149" s="3">
        <v>5.8</v>
      </c>
      <c r="H149">
        <v>3710</v>
      </c>
      <c r="I149">
        <v>78443</v>
      </c>
      <c r="J149">
        <v>1</v>
      </c>
      <c r="K149">
        <v>4473</v>
      </c>
      <c r="L149" s="2">
        <v>310000</v>
      </c>
      <c r="M149" s="2">
        <v>63500000</v>
      </c>
      <c r="N149">
        <v>7</v>
      </c>
      <c r="O149">
        <v>2</v>
      </c>
      <c r="P149" t="s">
        <v>15</v>
      </c>
      <c r="Q149" t="s">
        <v>14</v>
      </c>
      <c r="R149" s="2">
        <f>Table4[[#This Row],[total_followers]]/(Table4[[#This Row],[total_time_streamed]] / 60)</f>
        <v>4158.2830315224683</v>
      </c>
      <c r="S149" t="str">
        <f>IF(Table4[[#This Row],[avg_games_per_stream]] &gt; 2, "Variety", "Focused")</f>
        <v>Focused</v>
      </c>
      <c r="T149" s="4">
        <f>Table4[[#This Row],[avg_viewers_per_stream]] / Table4[[#This Row],[total_followers]]</f>
        <v>0.25304193548387099</v>
      </c>
    </row>
    <row r="150" spans="1:20">
      <c r="A150">
        <v>150</v>
      </c>
      <c r="B150" t="s">
        <v>250</v>
      </c>
      <c r="C150" t="s">
        <v>4</v>
      </c>
      <c r="D150" t="s">
        <v>39</v>
      </c>
      <c r="E150" t="s">
        <v>40</v>
      </c>
      <c r="F150" t="s">
        <v>109</v>
      </c>
      <c r="G150" s="3">
        <v>6</v>
      </c>
      <c r="H150">
        <v>1890</v>
      </c>
      <c r="I150">
        <v>11807</v>
      </c>
      <c r="J150">
        <v>2.4</v>
      </c>
      <c r="K150">
        <v>13356</v>
      </c>
      <c r="L150" s="2">
        <v>685000</v>
      </c>
      <c r="M150" s="2">
        <v>33800000</v>
      </c>
      <c r="N150">
        <v>745</v>
      </c>
      <c r="O150">
        <v>5.7</v>
      </c>
      <c r="P150" t="s">
        <v>18</v>
      </c>
      <c r="Q150" t="s">
        <v>14</v>
      </c>
      <c r="R150" s="2">
        <f>Table4[[#This Row],[total_followers]]/(Table4[[#This Row],[total_time_streamed]] / 60)</f>
        <v>3077.2686433063791</v>
      </c>
      <c r="S150" t="str">
        <f>IF(Table4[[#This Row],[avg_games_per_stream]] &gt; 2, "Variety", "Focused")</f>
        <v>Variety</v>
      </c>
      <c r="T150" s="4">
        <f>Table4[[#This Row],[avg_viewers_per_stream]] / Table4[[#This Row],[total_followers]]</f>
        <v>1.7236496350364963E-2</v>
      </c>
    </row>
    <row r="151" spans="1:20">
      <c r="A151">
        <v>151</v>
      </c>
      <c r="B151" t="s">
        <v>251</v>
      </c>
      <c r="C151" t="s">
        <v>63</v>
      </c>
      <c r="D151" t="s">
        <v>39</v>
      </c>
      <c r="E151" t="s">
        <v>64</v>
      </c>
      <c r="F151" t="s">
        <v>252</v>
      </c>
      <c r="G151" s="3">
        <v>6</v>
      </c>
      <c r="H151">
        <v>7340</v>
      </c>
      <c r="I151">
        <v>55905</v>
      </c>
      <c r="J151">
        <v>1</v>
      </c>
      <c r="K151">
        <v>12578</v>
      </c>
      <c r="L151" s="2">
        <v>1600000</v>
      </c>
      <c r="M151" s="2">
        <v>120000000</v>
      </c>
      <c r="N151">
        <v>14</v>
      </c>
      <c r="O151">
        <v>5.4</v>
      </c>
      <c r="P151" t="s">
        <v>19</v>
      </c>
      <c r="Q151" t="s">
        <v>20</v>
      </c>
      <c r="R151" s="2">
        <f>Table4[[#This Row],[total_followers]]/(Table4[[#This Row],[total_time_streamed]] / 60)</f>
        <v>7632.3739863253304</v>
      </c>
      <c r="S151" t="str">
        <f>IF(Table4[[#This Row],[avg_games_per_stream]] &gt; 2, "Variety", "Focused")</f>
        <v>Focused</v>
      </c>
      <c r="T151" s="4">
        <f>Table4[[#This Row],[avg_viewers_per_stream]] / Table4[[#This Row],[total_followers]]</f>
        <v>3.4940625000000003E-2</v>
      </c>
    </row>
    <row r="152" spans="1:20">
      <c r="A152">
        <v>152</v>
      </c>
      <c r="B152" t="s">
        <v>253</v>
      </c>
      <c r="C152" t="s">
        <v>3</v>
      </c>
      <c r="D152" t="s">
        <v>39</v>
      </c>
      <c r="E152" t="s">
        <v>254</v>
      </c>
      <c r="F152" t="s">
        <v>255</v>
      </c>
      <c r="G152" s="3">
        <v>3.8</v>
      </c>
      <c r="H152">
        <v>2600</v>
      </c>
      <c r="I152">
        <v>13005</v>
      </c>
      <c r="J152">
        <v>2.5</v>
      </c>
      <c r="K152">
        <v>7653</v>
      </c>
      <c r="L152" s="2">
        <v>688000</v>
      </c>
      <c r="M152" s="2">
        <v>37000000</v>
      </c>
      <c r="N152">
        <v>830</v>
      </c>
      <c r="O152">
        <v>5.0999999999999996</v>
      </c>
      <c r="P152" t="s">
        <v>20</v>
      </c>
      <c r="Q152" t="s">
        <v>17</v>
      </c>
      <c r="R152" s="2">
        <f>Table4[[#This Row],[total_followers]]/(Table4[[#This Row],[total_time_streamed]] / 60)</f>
        <v>5393.9631517052139</v>
      </c>
      <c r="S152" t="str">
        <f>IF(Table4[[#This Row],[avg_games_per_stream]] &gt; 2, "Variety", "Focused")</f>
        <v>Variety</v>
      </c>
      <c r="T152" s="4">
        <f>Table4[[#This Row],[avg_viewers_per_stream]] / Table4[[#This Row],[total_followers]]</f>
        <v>1.8902616279069768E-2</v>
      </c>
    </row>
    <row r="153" spans="1:20">
      <c r="A153">
        <v>153</v>
      </c>
      <c r="B153" t="s">
        <v>256</v>
      </c>
      <c r="C153" t="s">
        <v>3</v>
      </c>
      <c r="D153" t="s">
        <v>39</v>
      </c>
      <c r="E153" t="s">
        <v>74</v>
      </c>
      <c r="F153" t="s">
        <v>40</v>
      </c>
      <c r="G153" s="3">
        <v>3.9</v>
      </c>
      <c r="H153">
        <v>3302</v>
      </c>
      <c r="I153">
        <v>47216</v>
      </c>
      <c r="J153">
        <v>2</v>
      </c>
      <c r="K153">
        <v>4075</v>
      </c>
      <c r="L153" s="2">
        <v>3090000</v>
      </c>
      <c r="M153" s="2">
        <v>44200000</v>
      </c>
      <c r="N153">
        <v>112</v>
      </c>
      <c r="O153">
        <v>3.8</v>
      </c>
      <c r="P153" t="s">
        <v>15</v>
      </c>
      <c r="Q153" t="s">
        <v>14</v>
      </c>
      <c r="R153" s="2">
        <f>Table4[[#This Row],[total_followers]]/(Table4[[#This Row],[total_time_streamed]] / 60)</f>
        <v>45496.932515337423</v>
      </c>
      <c r="S153" t="str">
        <f>IF(Table4[[#This Row],[avg_games_per_stream]] &gt; 2, "Variety", "Focused")</f>
        <v>Focused</v>
      </c>
      <c r="T153" s="4">
        <f>Table4[[#This Row],[avg_viewers_per_stream]] / Table4[[#This Row],[total_followers]]</f>
        <v>1.5280258899676375E-2</v>
      </c>
    </row>
    <row r="154" spans="1:20">
      <c r="A154">
        <v>154</v>
      </c>
      <c r="B154" t="s">
        <v>257</v>
      </c>
      <c r="C154" t="s">
        <v>3</v>
      </c>
      <c r="D154" t="s">
        <v>39</v>
      </c>
      <c r="E154" t="s">
        <v>113</v>
      </c>
      <c r="F154" t="s">
        <v>258</v>
      </c>
      <c r="G154" s="3">
        <v>3.9</v>
      </c>
      <c r="H154">
        <v>1980</v>
      </c>
      <c r="I154">
        <v>3449</v>
      </c>
      <c r="J154">
        <v>1.1000000000000001</v>
      </c>
      <c r="K154">
        <v>3348</v>
      </c>
      <c r="L154" s="2">
        <v>162000</v>
      </c>
      <c r="M154" s="2">
        <v>2800000</v>
      </c>
      <c r="N154">
        <v>32</v>
      </c>
      <c r="O154">
        <v>2.9</v>
      </c>
      <c r="P154" t="s">
        <v>17</v>
      </c>
      <c r="Q154" t="s">
        <v>14</v>
      </c>
      <c r="R154" s="2">
        <f>Table4[[#This Row],[total_followers]]/(Table4[[#This Row],[total_time_streamed]] / 60)</f>
        <v>2903.2258064516132</v>
      </c>
      <c r="S154" t="str">
        <f>IF(Table4[[#This Row],[avg_games_per_stream]] &gt; 2, "Variety", "Focused")</f>
        <v>Focused</v>
      </c>
      <c r="T154" s="4">
        <f>Table4[[#This Row],[avg_viewers_per_stream]] / Table4[[#This Row],[total_followers]]</f>
        <v>2.1290123456790124E-2</v>
      </c>
    </row>
    <row r="155" spans="1:20">
      <c r="A155">
        <v>155</v>
      </c>
      <c r="B155" t="s">
        <v>259</v>
      </c>
      <c r="C155" t="s">
        <v>3</v>
      </c>
      <c r="D155" t="s">
        <v>39</v>
      </c>
      <c r="E155" t="s">
        <v>12</v>
      </c>
      <c r="F155" t="s">
        <v>240</v>
      </c>
      <c r="G155" s="3">
        <v>2.1</v>
      </c>
      <c r="H155">
        <v>1329</v>
      </c>
      <c r="I155">
        <v>33493</v>
      </c>
      <c r="J155">
        <v>1</v>
      </c>
      <c r="K155">
        <v>1173</v>
      </c>
      <c r="L155" s="2">
        <v>459000</v>
      </c>
      <c r="M155" s="2">
        <v>12000000</v>
      </c>
      <c r="N155">
        <v>190</v>
      </c>
      <c r="O155">
        <v>1.4</v>
      </c>
      <c r="P155" t="s">
        <v>18</v>
      </c>
      <c r="Q155" t="s">
        <v>18</v>
      </c>
      <c r="R155" s="2">
        <f>Table4[[#This Row],[total_followers]]/(Table4[[#This Row],[total_time_streamed]] / 60)</f>
        <v>23478.260869565216</v>
      </c>
      <c r="S155" t="str">
        <f>IF(Table4[[#This Row],[avg_games_per_stream]] &gt; 2, "Variety", "Focused")</f>
        <v>Focused</v>
      </c>
      <c r="T155" s="4">
        <f>Table4[[#This Row],[avg_viewers_per_stream]] / Table4[[#This Row],[total_followers]]</f>
        <v>7.2969498910675376E-2</v>
      </c>
    </row>
    <row r="156" spans="1:20">
      <c r="A156">
        <v>156</v>
      </c>
      <c r="B156" t="s">
        <v>260</v>
      </c>
      <c r="C156" t="s">
        <v>7</v>
      </c>
      <c r="D156" t="s">
        <v>39</v>
      </c>
      <c r="E156" t="s">
        <v>40</v>
      </c>
      <c r="F156" t="s">
        <v>261</v>
      </c>
      <c r="G156" s="3">
        <v>5.0999999999999996</v>
      </c>
      <c r="H156">
        <v>2075</v>
      </c>
      <c r="I156">
        <v>2102</v>
      </c>
      <c r="J156">
        <v>1.2</v>
      </c>
      <c r="K156">
        <v>4449</v>
      </c>
      <c r="L156" s="2">
        <v>1860000</v>
      </c>
      <c r="M156" s="2">
        <v>1880000</v>
      </c>
      <c r="N156">
        <v>9</v>
      </c>
      <c r="O156">
        <v>4.8</v>
      </c>
      <c r="P156" t="s">
        <v>17</v>
      </c>
      <c r="Q156" t="s">
        <v>16</v>
      </c>
      <c r="R156" s="2">
        <f>Table4[[#This Row],[total_followers]]/(Table4[[#This Row],[total_time_streamed]] / 60)</f>
        <v>25084.288604180714</v>
      </c>
      <c r="S156" t="str">
        <f>IF(Table4[[#This Row],[avg_games_per_stream]] &gt; 2, "Variety", "Focused")</f>
        <v>Focused</v>
      </c>
      <c r="T156" s="4">
        <f>Table4[[#This Row],[avg_viewers_per_stream]] / Table4[[#This Row],[total_followers]]</f>
        <v>1.1301075268817205E-3</v>
      </c>
    </row>
    <row r="157" spans="1:20">
      <c r="A157">
        <v>157</v>
      </c>
      <c r="B157" t="s">
        <v>262</v>
      </c>
      <c r="C157" t="s">
        <v>5</v>
      </c>
      <c r="D157" t="s">
        <v>39</v>
      </c>
      <c r="E157" t="s">
        <v>66</v>
      </c>
      <c r="F157" t="s">
        <v>54</v>
      </c>
      <c r="G157" s="3">
        <v>7</v>
      </c>
      <c r="H157">
        <v>1024</v>
      </c>
      <c r="I157">
        <v>0</v>
      </c>
      <c r="J157">
        <v>1.2</v>
      </c>
      <c r="K157">
        <v>1104</v>
      </c>
      <c r="L157" s="2">
        <v>179000</v>
      </c>
      <c r="M157" s="2">
        <v>0</v>
      </c>
      <c r="N157">
        <v>15</v>
      </c>
      <c r="O157">
        <v>4.3</v>
      </c>
      <c r="P157" t="s">
        <v>20</v>
      </c>
      <c r="Q157" t="s">
        <v>15</v>
      </c>
      <c r="R157" s="2">
        <f>Table4[[#This Row],[total_followers]]/(Table4[[#This Row],[total_time_streamed]] / 60)</f>
        <v>9728.2608695652179</v>
      </c>
      <c r="S157" t="str">
        <f>IF(Table4[[#This Row],[avg_games_per_stream]] &gt; 2, "Variety", "Focused")</f>
        <v>Focused</v>
      </c>
      <c r="T157" s="4">
        <f>Table4[[#This Row],[avg_viewers_per_stream]] / Table4[[#This Row],[total_followers]]</f>
        <v>0</v>
      </c>
    </row>
    <row r="158" spans="1:20">
      <c r="A158">
        <v>158</v>
      </c>
      <c r="B158" t="s">
        <v>263</v>
      </c>
      <c r="C158" t="s">
        <v>5</v>
      </c>
      <c r="D158" t="s">
        <v>39</v>
      </c>
      <c r="E158" t="s">
        <v>68</v>
      </c>
      <c r="F158" t="s">
        <v>54</v>
      </c>
      <c r="G158" s="3">
        <v>5.7</v>
      </c>
      <c r="H158">
        <v>3310</v>
      </c>
      <c r="I158">
        <v>4251</v>
      </c>
      <c r="J158">
        <v>1.3</v>
      </c>
      <c r="K158">
        <v>427</v>
      </c>
      <c r="L158" s="2">
        <v>271000</v>
      </c>
      <c r="M158" s="2">
        <v>3480000</v>
      </c>
      <c r="N158">
        <v>88</v>
      </c>
      <c r="O158">
        <v>4</v>
      </c>
      <c r="P158" t="s">
        <v>19</v>
      </c>
      <c r="Q158" t="s">
        <v>14</v>
      </c>
      <c r="R158" s="2">
        <f>Table4[[#This Row],[total_followers]]/(Table4[[#This Row],[total_time_streamed]] / 60)</f>
        <v>38079.625292740049</v>
      </c>
      <c r="S158" t="str">
        <f>IF(Table4[[#This Row],[avg_games_per_stream]] &gt; 2, "Variety", "Focused")</f>
        <v>Focused</v>
      </c>
      <c r="T158" s="4">
        <f>Table4[[#This Row],[avg_viewers_per_stream]] / Table4[[#This Row],[total_followers]]</f>
        <v>1.5686346863468634E-2</v>
      </c>
    </row>
    <row r="159" spans="1:20">
      <c r="A159">
        <v>159</v>
      </c>
      <c r="B159" t="s">
        <v>264</v>
      </c>
      <c r="C159" t="s">
        <v>6</v>
      </c>
      <c r="D159" t="s">
        <v>39</v>
      </c>
      <c r="E159" t="s">
        <v>40</v>
      </c>
      <c r="F159" t="s">
        <v>66</v>
      </c>
      <c r="G159" s="3">
        <v>8.8000000000000007</v>
      </c>
      <c r="H159">
        <v>1373</v>
      </c>
      <c r="I159">
        <v>17551</v>
      </c>
      <c r="J159">
        <v>2.8</v>
      </c>
      <c r="K159">
        <v>11963</v>
      </c>
      <c r="L159" s="2">
        <v>1520000</v>
      </c>
      <c r="M159" s="2">
        <v>19500000</v>
      </c>
      <c r="N159">
        <v>280</v>
      </c>
      <c r="O159">
        <v>3.8</v>
      </c>
      <c r="P159" t="s">
        <v>19</v>
      </c>
      <c r="Q159" t="s">
        <v>14</v>
      </c>
      <c r="R159" s="2">
        <f>Table4[[#This Row],[total_followers]]/(Table4[[#This Row],[total_time_streamed]] / 60)</f>
        <v>7623.5058095795375</v>
      </c>
      <c r="S159" t="str">
        <f>IF(Table4[[#This Row],[avg_games_per_stream]] &gt; 2, "Variety", "Focused")</f>
        <v>Variety</v>
      </c>
      <c r="T159" s="4">
        <f>Table4[[#This Row],[avg_viewers_per_stream]] / Table4[[#This Row],[total_followers]]</f>
        <v>1.154671052631579E-2</v>
      </c>
    </row>
    <row r="160" spans="1:20">
      <c r="A160">
        <v>160</v>
      </c>
      <c r="B160" t="s">
        <v>265</v>
      </c>
      <c r="C160" t="s">
        <v>2</v>
      </c>
      <c r="D160" t="s">
        <v>39</v>
      </c>
      <c r="E160" t="s">
        <v>189</v>
      </c>
      <c r="F160" t="s">
        <v>46</v>
      </c>
      <c r="G160" s="3">
        <v>7.5</v>
      </c>
      <c r="H160">
        <v>3330</v>
      </c>
      <c r="I160">
        <v>33004</v>
      </c>
      <c r="J160">
        <v>1.5</v>
      </c>
      <c r="K160">
        <v>3543</v>
      </c>
      <c r="L160" s="2">
        <v>196000</v>
      </c>
      <c r="M160" s="2">
        <v>18200000</v>
      </c>
      <c r="N160">
        <v>46</v>
      </c>
      <c r="O160">
        <v>1.2</v>
      </c>
      <c r="P160" t="s">
        <v>18</v>
      </c>
      <c r="Q160" t="s">
        <v>14</v>
      </c>
      <c r="R160" s="2">
        <f>Table4[[#This Row],[total_followers]]/(Table4[[#This Row],[total_time_streamed]] / 60)</f>
        <v>3319.22099915326</v>
      </c>
      <c r="S160" t="str">
        <f>IF(Table4[[#This Row],[avg_games_per_stream]] &gt; 2, "Variety", "Focused")</f>
        <v>Focused</v>
      </c>
      <c r="T160" s="4">
        <f>Table4[[#This Row],[avg_viewers_per_stream]] / Table4[[#This Row],[total_followers]]</f>
        <v>0.16838775510204082</v>
      </c>
    </row>
    <row r="161" spans="1:20">
      <c r="A161">
        <v>161</v>
      </c>
      <c r="B161" t="s">
        <v>266</v>
      </c>
      <c r="C161" t="s">
        <v>7</v>
      </c>
      <c r="D161" t="s">
        <v>39</v>
      </c>
      <c r="E161" t="s">
        <v>40</v>
      </c>
      <c r="F161" t="s">
        <v>66</v>
      </c>
      <c r="G161" s="3">
        <v>5.2</v>
      </c>
      <c r="H161">
        <v>5678</v>
      </c>
      <c r="I161">
        <v>84694</v>
      </c>
      <c r="J161">
        <v>2.7</v>
      </c>
      <c r="K161">
        <v>11163</v>
      </c>
      <c r="L161" s="2">
        <v>11200000</v>
      </c>
      <c r="M161" s="2">
        <v>168000000</v>
      </c>
      <c r="N161">
        <v>333</v>
      </c>
      <c r="O161">
        <v>5.5</v>
      </c>
      <c r="P161" t="s">
        <v>20</v>
      </c>
      <c r="Q161" t="s">
        <v>18</v>
      </c>
      <c r="R161" s="2">
        <f>Table4[[#This Row],[total_followers]]/(Table4[[#This Row],[total_time_streamed]] / 60)</f>
        <v>60198.871271163662</v>
      </c>
      <c r="S161" t="str">
        <f>IF(Table4[[#This Row],[avg_games_per_stream]] &gt; 2, "Variety", "Focused")</f>
        <v>Variety</v>
      </c>
      <c r="T161" s="4">
        <f>Table4[[#This Row],[avg_viewers_per_stream]] / Table4[[#This Row],[total_followers]]</f>
        <v>7.5619642857142856E-3</v>
      </c>
    </row>
    <row r="162" spans="1:20">
      <c r="A162">
        <v>162</v>
      </c>
      <c r="B162" t="s">
        <v>267</v>
      </c>
      <c r="C162" t="s">
        <v>4</v>
      </c>
      <c r="D162" t="s">
        <v>39</v>
      </c>
      <c r="E162" t="s">
        <v>40</v>
      </c>
      <c r="F162" t="s">
        <v>79</v>
      </c>
      <c r="G162" s="3">
        <v>5.3</v>
      </c>
      <c r="H162">
        <v>1195</v>
      </c>
      <c r="I162">
        <v>35123</v>
      </c>
      <c r="J162">
        <v>2.1</v>
      </c>
      <c r="K162">
        <v>10867</v>
      </c>
      <c r="L162" s="2">
        <v>2200000</v>
      </c>
      <c r="M162" s="2">
        <v>64700000</v>
      </c>
      <c r="N162">
        <v>531</v>
      </c>
      <c r="O162">
        <v>5.3</v>
      </c>
      <c r="P162" t="s">
        <v>19</v>
      </c>
      <c r="Q162" t="s">
        <v>20</v>
      </c>
      <c r="R162" s="2">
        <f>Table4[[#This Row],[total_followers]]/(Table4[[#This Row],[total_time_streamed]] / 60)</f>
        <v>12146.866660531885</v>
      </c>
      <c r="S162" t="str">
        <f>IF(Table4[[#This Row],[avg_games_per_stream]] &gt; 2, "Variety", "Focused")</f>
        <v>Variety</v>
      </c>
      <c r="T162" s="4">
        <f>Table4[[#This Row],[avg_viewers_per_stream]] / Table4[[#This Row],[total_followers]]</f>
        <v>1.5965E-2</v>
      </c>
    </row>
    <row r="163" spans="1:20">
      <c r="A163">
        <v>163</v>
      </c>
      <c r="B163" t="s">
        <v>268</v>
      </c>
      <c r="C163" t="s">
        <v>63</v>
      </c>
      <c r="D163" t="s">
        <v>39</v>
      </c>
      <c r="E163" t="s">
        <v>56</v>
      </c>
      <c r="F163" t="s">
        <v>54</v>
      </c>
      <c r="G163" s="3">
        <v>6.1</v>
      </c>
      <c r="H163">
        <v>6420</v>
      </c>
      <c r="I163">
        <v>1491</v>
      </c>
      <c r="J163">
        <v>1.1000000000000001</v>
      </c>
      <c r="K163">
        <v>2753</v>
      </c>
      <c r="L163" s="2">
        <v>314000</v>
      </c>
      <c r="M163" s="2">
        <v>2770000</v>
      </c>
      <c r="N163">
        <v>13</v>
      </c>
      <c r="O163">
        <v>1.2</v>
      </c>
      <c r="P163" t="s">
        <v>18</v>
      </c>
      <c r="Q163" t="s">
        <v>15</v>
      </c>
      <c r="R163" s="2">
        <f>Table4[[#This Row],[total_followers]]/(Table4[[#This Row],[total_time_streamed]] / 60)</f>
        <v>6843.443516164185</v>
      </c>
      <c r="S163" t="str">
        <f>IF(Table4[[#This Row],[avg_games_per_stream]] &gt; 2, "Variety", "Focused")</f>
        <v>Focused</v>
      </c>
      <c r="T163" s="4">
        <f>Table4[[#This Row],[avg_viewers_per_stream]] / Table4[[#This Row],[total_followers]]</f>
        <v>4.748407643312102E-3</v>
      </c>
    </row>
    <row r="164" spans="1:20">
      <c r="A164">
        <v>164</v>
      </c>
      <c r="B164" t="s">
        <v>269</v>
      </c>
      <c r="C164" t="s">
        <v>5</v>
      </c>
      <c r="D164" t="s">
        <v>39</v>
      </c>
      <c r="E164" t="s">
        <v>109</v>
      </c>
      <c r="F164" t="s">
        <v>233</v>
      </c>
      <c r="G164" s="3">
        <v>7.1</v>
      </c>
      <c r="H164">
        <v>2230</v>
      </c>
      <c r="I164">
        <v>1098</v>
      </c>
      <c r="J164">
        <v>1.6</v>
      </c>
      <c r="K164">
        <v>10745</v>
      </c>
      <c r="L164" s="2">
        <v>344000</v>
      </c>
      <c r="M164" s="2">
        <v>16900000</v>
      </c>
      <c r="N164">
        <v>237</v>
      </c>
      <c r="O164">
        <v>3.9</v>
      </c>
      <c r="P164" t="s">
        <v>16</v>
      </c>
      <c r="Q164" t="s">
        <v>14</v>
      </c>
      <c r="R164" s="2">
        <f>Table4[[#This Row],[total_followers]]/(Table4[[#This Row],[total_time_streamed]] / 60)</f>
        <v>1920.8934388087482</v>
      </c>
      <c r="S164" t="str">
        <f>IF(Table4[[#This Row],[avg_games_per_stream]] &gt; 2, "Variety", "Focused")</f>
        <v>Focused</v>
      </c>
      <c r="T164" s="4">
        <f>Table4[[#This Row],[avg_viewers_per_stream]] / Table4[[#This Row],[total_followers]]</f>
        <v>3.1918604651162792E-3</v>
      </c>
    </row>
    <row r="165" spans="1:20">
      <c r="A165">
        <v>165</v>
      </c>
      <c r="B165" t="s">
        <v>270</v>
      </c>
      <c r="C165" t="s">
        <v>4</v>
      </c>
      <c r="D165" t="s">
        <v>39</v>
      </c>
      <c r="E165" t="s">
        <v>40</v>
      </c>
      <c r="F165" t="s">
        <v>271</v>
      </c>
      <c r="G165" s="3">
        <v>3.4</v>
      </c>
      <c r="H165">
        <v>8660</v>
      </c>
      <c r="I165">
        <v>6531</v>
      </c>
      <c r="J165">
        <v>1.4</v>
      </c>
      <c r="K165">
        <v>3149</v>
      </c>
      <c r="L165" s="2">
        <v>613000</v>
      </c>
      <c r="M165" s="2">
        <v>4530000</v>
      </c>
      <c r="N165">
        <v>50</v>
      </c>
      <c r="O165">
        <v>2.4</v>
      </c>
      <c r="P165" t="s">
        <v>16</v>
      </c>
      <c r="Q165" t="s">
        <v>19</v>
      </c>
      <c r="R165" s="2">
        <f>Table4[[#This Row],[total_followers]]/(Table4[[#This Row],[total_time_streamed]] / 60)</f>
        <v>11679.898380438233</v>
      </c>
      <c r="S165" t="str">
        <f>IF(Table4[[#This Row],[avg_games_per_stream]] &gt; 2, "Variety", "Focused")</f>
        <v>Focused</v>
      </c>
      <c r="T165" s="4">
        <f>Table4[[#This Row],[avg_viewers_per_stream]] / Table4[[#This Row],[total_followers]]</f>
        <v>1.0654159869494291E-2</v>
      </c>
    </row>
    <row r="166" spans="1:20">
      <c r="A166">
        <v>166</v>
      </c>
      <c r="B166" t="s">
        <v>272</v>
      </c>
      <c r="C166" t="s">
        <v>3</v>
      </c>
      <c r="D166" t="s">
        <v>58</v>
      </c>
      <c r="E166" t="s">
        <v>273</v>
      </c>
      <c r="F166" t="s">
        <v>274</v>
      </c>
      <c r="G166" s="3">
        <v>4.8</v>
      </c>
      <c r="H166">
        <v>2950</v>
      </c>
      <c r="I166">
        <v>55757</v>
      </c>
      <c r="J166">
        <v>1</v>
      </c>
      <c r="K166">
        <v>7211</v>
      </c>
      <c r="L166" s="2">
        <v>472000</v>
      </c>
      <c r="M166" s="2">
        <v>121000000</v>
      </c>
      <c r="N166">
        <v>2</v>
      </c>
      <c r="O166">
        <v>2.9</v>
      </c>
      <c r="P166" t="s">
        <v>20</v>
      </c>
      <c r="Q166" t="s">
        <v>14</v>
      </c>
      <c r="R166" s="2">
        <f>Table4[[#This Row],[total_followers]]/(Table4[[#This Row],[total_time_streamed]] / 60)</f>
        <v>3927.3332408819856</v>
      </c>
      <c r="S166" t="str">
        <f>IF(Table4[[#This Row],[avg_games_per_stream]] &gt; 2, "Variety", "Focused")</f>
        <v>Focused</v>
      </c>
      <c r="T166" s="4">
        <f>Table4[[#This Row],[avg_viewers_per_stream]] / Table4[[#This Row],[total_followers]]</f>
        <v>0.1181292372881356</v>
      </c>
    </row>
    <row r="167" spans="1:20">
      <c r="A167">
        <v>167</v>
      </c>
      <c r="B167" t="s">
        <v>275</v>
      </c>
      <c r="C167" t="s">
        <v>63</v>
      </c>
      <c r="D167" t="s">
        <v>39</v>
      </c>
      <c r="E167" t="s">
        <v>189</v>
      </c>
      <c r="F167" t="s">
        <v>64</v>
      </c>
      <c r="G167" s="3">
        <v>5.9</v>
      </c>
      <c r="H167">
        <v>3810</v>
      </c>
      <c r="I167">
        <v>18774</v>
      </c>
      <c r="J167">
        <v>1.4</v>
      </c>
      <c r="K167">
        <v>7782</v>
      </c>
      <c r="L167" s="2">
        <v>585000</v>
      </c>
      <c r="M167" s="2">
        <v>29500000</v>
      </c>
      <c r="N167">
        <v>30</v>
      </c>
      <c r="O167">
        <v>3.4</v>
      </c>
      <c r="P167" t="s">
        <v>14</v>
      </c>
      <c r="Q167" t="s">
        <v>14</v>
      </c>
      <c r="R167" s="2">
        <f>Table4[[#This Row],[total_followers]]/(Table4[[#This Row],[total_time_streamed]] / 60)</f>
        <v>4510.4086353122593</v>
      </c>
      <c r="S167" t="str">
        <f>IF(Table4[[#This Row],[avg_games_per_stream]] &gt; 2, "Variety", "Focused")</f>
        <v>Focused</v>
      </c>
      <c r="T167" s="4">
        <f>Table4[[#This Row],[avg_viewers_per_stream]] / Table4[[#This Row],[total_followers]]</f>
        <v>3.2092307692307691E-2</v>
      </c>
    </row>
    <row r="168" spans="1:20">
      <c r="A168">
        <v>168</v>
      </c>
      <c r="B168" t="s">
        <v>276</v>
      </c>
      <c r="C168" t="s">
        <v>4</v>
      </c>
      <c r="D168" t="s">
        <v>39</v>
      </c>
      <c r="E168" t="s">
        <v>277</v>
      </c>
      <c r="F168" t="s">
        <v>40</v>
      </c>
      <c r="G168" s="3">
        <v>4.5999999999999996</v>
      </c>
      <c r="H168">
        <v>8460</v>
      </c>
      <c r="I168">
        <v>30484</v>
      </c>
      <c r="J168">
        <v>1.4</v>
      </c>
      <c r="K168">
        <v>6241</v>
      </c>
      <c r="L168" s="2">
        <v>1030000</v>
      </c>
      <c r="M168" s="2">
        <v>37300000</v>
      </c>
      <c r="N168">
        <v>249</v>
      </c>
      <c r="O168">
        <v>4</v>
      </c>
      <c r="P168" t="s">
        <v>16</v>
      </c>
      <c r="Q168" t="s">
        <v>14</v>
      </c>
      <c r="R168" s="2">
        <f>Table4[[#This Row],[total_followers]]/(Table4[[#This Row],[total_time_streamed]] / 60)</f>
        <v>9902.259253324788</v>
      </c>
      <c r="S168" t="str">
        <f>IF(Table4[[#This Row],[avg_games_per_stream]] &gt; 2, "Variety", "Focused")</f>
        <v>Focused</v>
      </c>
      <c r="T168" s="4">
        <f>Table4[[#This Row],[avg_viewers_per_stream]] / Table4[[#This Row],[total_followers]]</f>
        <v>2.9596116504854369E-2</v>
      </c>
    </row>
    <row r="169" spans="1:20">
      <c r="A169">
        <v>169</v>
      </c>
      <c r="B169" t="s">
        <v>278</v>
      </c>
      <c r="C169" t="s">
        <v>63</v>
      </c>
      <c r="D169" t="s">
        <v>39</v>
      </c>
      <c r="E169" t="s">
        <v>64</v>
      </c>
      <c r="F169" t="s">
        <v>279</v>
      </c>
      <c r="G169" s="3">
        <v>8.1999999999999993</v>
      </c>
      <c r="H169">
        <v>2340</v>
      </c>
      <c r="I169">
        <v>94945</v>
      </c>
      <c r="J169">
        <v>2.1</v>
      </c>
      <c r="K169">
        <v>11445</v>
      </c>
      <c r="L169" s="2">
        <v>715000</v>
      </c>
      <c r="M169" s="2">
        <v>199000000</v>
      </c>
      <c r="N169">
        <v>309</v>
      </c>
      <c r="O169">
        <v>3.6</v>
      </c>
      <c r="P169" t="s">
        <v>19</v>
      </c>
      <c r="Q169" t="s">
        <v>20</v>
      </c>
      <c r="R169" s="2">
        <f>Table4[[#This Row],[total_followers]]/(Table4[[#This Row],[total_time_streamed]] / 60)</f>
        <v>3748.3617300131064</v>
      </c>
      <c r="S169" t="str">
        <f>IF(Table4[[#This Row],[avg_games_per_stream]] &gt; 2, "Variety", "Focused")</f>
        <v>Variety</v>
      </c>
      <c r="T169" s="4">
        <f>Table4[[#This Row],[avg_viewers_per_stream]] / Table4[[#This Row],[total_followers]]</f>
        <v>0.13279020979020978</v>
      </c>
    </row>
    <row r="170" spans="1:20">
      <c r="A170">
        <v>170</v>
      </c>
      <c r="B170" t="s">
        <v>280</v>
      </c>
      <c r="C170" t="s">
        <v>3</v>
      </c>
      <c r="D170" t="s">
        <v>39</v>
      </c>
      <c r="E170" t="s">
        <v>74</v>
      </c>
      <c r="F170" t="s">
        <v>40</v>
      </c>
      <c r="G170" s="3">
        <v>5.6</v>
      </c>
      <c r="H170">
        <v>1021</v>
      </c>
      <c r="I170">
        <v>60</v>
      </c>
      <c r="J170">
        <v>1.3</v>
      </c>
      <c r="K170">
        <v>3064</v>
      </c>
      <c r="L170" s="2">
        <v>537000</v>
      </c>
      <c r="M170" s="2">
        <v>3500</v>
      </c>
      <c r="N170">
        <v>52</v>
      </c>
      <c r="O170">
        <v>2.6</v>
      </c>
      <c r="P170" t="s">
        <v>16</v>
      </c>
      <c r="Q170" t="s">
        <v>14</v>
      </c>
      <c r="R170" s="2">
        <f>Table4[[#This Row],[total_followers]]/(Table4[[#This Row],[total_time_streamed]] / 60)</f>
        <v>10515.665796344647</v>
      </c>
      <c r="S170" t="str">
        <f>IF(Table4[[#This Row],[avg_games_per_stream]] &gt; 2, "Variety", "Focused")</f>
        <v>Focused</v>
      </c>
      <c r="T170" s="4">
        <f>Table4[[#This Row],[avg_viewers_per_stream]] / Table4[[#This Row],[total_followers]]</f>
        <v>1.11731843575419E-4</v>
      </c>
    </row>
    <row r="171" spans="1:20">
      <c r="A171">
        <v>171</v>
      </c>
      <c r="B171" t="s">
        <v>281</v>
      </c>
      <c r="C171" t="s">
        <v>3</v>
      </c>
      <c r="D171" t="s">
        <v>58</v>
      </c>
      <c r="E171" t="s">
        <v>74</v>
      </c>
      <c r="G171" s="3">
        <v>5.2</v>
      </c>
      <c r="H171">
        <v>18889</v>
      </c>
      <c r="I171">
        <v>352166</v>
      </c>
      <c r="J171">
        <v>1</v>
      </c>
      <c r="K171">
        <v>1726</v>
      </c>
      <c r="L171" s="2">
        <v>5880000</v>
      </c>
      <c r="M171" s="2">
        <v>110000000</v>
      </c>
      <c r="N171">
        <v>1</v>
      </c>
      <c r="O171">
        <v>0.9</v>
      </c>
      <c r="P171" t="s">
        <v>14</v>
      </c>
      <c r="Q171" t="s">
        <v>17</v>
      </c>
      <c r="R171" s="2">
        <f>Table4[[#This Row],[total_followers]]/(Table4[[#This Row],[total_time_streamed]] / 60)</f>
        <v>204403.24449594438</v>
      </c>
      <c r="S171" t="str">
        <f>IF(Table4[[#This Row],[avg_games_per_stream]] &gt; 2, "Variety", "Focused")</f>
        <v>Focused</v>
      </c>
      <c r="T171" s="4">
        <f>Table4[[#This Row],[avg_viewers_per_stream]] / Table4[[#This Row],[total_followers]]</f>
        <v>5.9892176870748298E-2</v>
      </c>
    </row>
    <row r="172" spans="1:20">
      <c r="A172">
        <v>172</v>
      </c>
      <c r="B172" t="s">
        <v>282</v>
      </c>
      <c r="C172" t="s">
        <v>3</v>
      </c>
      <c r="D172" t="s">
        <v>39</v>
      </c>
      <c r="E172" t="s">
        <v>66</v>
      </c>
      <c r="F172" t="s">
        <v>46</v>
      </c>
      <c r="G172" s="3">
        <v>5</v>
      </c>
      <c r="H172">
        <v>4688</v>
      </c>
      <c r="I172">
        <v>123683</v>
      </c>
      <c r="J172">
        <v>2.4</v>
      </c>
      <c r="K172">
        <v>5014</v>
      </c>
      <c r="L172" s="2">
        <v>3930000</v>
      </c>
      <c r="M172" s="2">
        <v>104000000</v>
      </c>
      <c r="N172">
        <v>155</v>
      </c>
      <c r="O172">
        <v>3.5</v>
      </c>
      <c r="P172" t="s">
        <v>19</v>
      </c>
      <c r="Q172" t="s">
        <v>20</v>
      </c>
      <c r="R172" s="2">
        <f>Table4[[#This Row],[total_followers]]/(Table4[[#This Row],[total_time_streamed]] / 60)</f>
        <v>47028.320702034303</v>
      </c>
      <c r="S172" t="str">
        <f>IF(Table4[[#This Row],[avg_games_per_stream]] &gt; 2, "Variety", "Focused")</f>
        <v>Variety</v>
      </c>
      <c r="T172" s="4">
        <f>Table4[[#This Row],[avg_viewers_per_stream]] / Table4[[#This Row],[total_followers]]</f>
        <v>3.1471501272264633E-2</v>
      </c>
    </row>
    <row r="173" spans="1:20">
      <c r="A173">
        <v>173</v>
      </c>
      <c r="B173" t="s">
        <v>283</v>
      </c>
      <c r="C173" t="s">
        <v>3</v>
      </c>
      <c r="D173" t="s">
        <v>39</v>
      </c>
      <c r="E173" t="s">
        <v>284</v>
      </c>
      <c r="F173" t="s">
        <v>40</v>
      </c>
      <c r="G173" s="3">
        <v>4.2</v>
      </c>
      <c r="H173">
        <v>8420</v>
      </c>
      <c r="I173">
        <v>56182</v>
      </c>
      <c r="J173">
        <v>1.4</v>
      </c>
      <c r="K173">
        <v>6409</v>
      </c>
      <c r="L173" s="2">
        <v>1300000</v>
      </c>
      <c r="M173" s="2">
        <v>86400000</v>
      </c>
      <c r="N173">
        <v>77</v>
      </c>
      <c r="O173">
        <v>4</v>
      </c>
      <c r="P173" t="s">
        <v>18</v>
      </c>
      <c r="Q173" t="s">
        <v>14</v>
      </c>
      <c r="R173" s="2">
        <f>Table4[[#This Row],[total_followers]]/(Table4[[#This Row],[total_time_streamed]] / 60)</f>
        <v>12170.385395537525</v>
      </c>
      <c r="S173" t="str">
        <f>IF(Table4[[#This Row],[avg_games_per_stream]] &gt; 2, "Variety", "Focused")</f>
        <v>Focused</v>
      </c>
      <c r="T173" s="4">
        <f>Table4[[#This Row],[avg_viewers_per_stream]] / Table4[[#This Row],[total_followers]]</f>
        <v>4.3216923076923076E-2</v>
      </c>
    </row>
    <row r="174" spans="1:20">
      <c r="A174">
        <v>174</v>
      </c>
      <c r="B174" t="s">
        <v>285</v>
      </c>
      <c r="C174" t="s">
        <v>63</v>
      </c>
      <c r="D174" t="s">
        <v>39</v>
      </c>
      <c r="E174" t="s">
        <v>56</v>
      </c>
      <c r="F174" t="s">
        <v>64</v>
      </c>
      <c r="G174" s="3">
        <v>3.1</v>
      </c>
      <c r="H174">
        <v>264</v>
      </c>
      <c r="I174">
        <v>31467</v>
      </c>
      <c r="J174">
        <v>1.1000000000000001</v>
      </c>
      <c r="K174">
        <v>1152</v>
      </c>
      <c r="L174" s="2">
        <v>1000000</v>
      </c>
      <c r="M174" s="2">
        <v>11900000</v>
      </c>
      <c r="N174">
        <v>13</v>
      </c>
      <c r="O174">
        <v>1.2</v>
      </c>
      <c r="P174" t="s">
        <v>15</v>
      </c>
      <c r="Q174" t="s">
        <v>16</v>
      </c>
      <c r="R174" s="2">
        <f>Table4[[#This Row],[total_followers]]/(Table4[[#This Row],[total_time_streamed]] / 60)</f>
        <v>52083.333333333336</v>
      </c>
      <c r="S174" t="str">
        <f>IF(Table4[[#This Row],[avg_games_per_stream]] &gt; 2, "Variety", "Focused")</f>
        <v>Focused</v>
      </c>
      <c r="T174" s="4">
        <f>Table4[[#This Row],[avg_viewers_per_stream]] / Table4[[#This Row],[total_followers]]</f>
        <v>3.1467000000000002E-2</v>
      </c>
    </row>
    <row r="175" spans="1:20">
      <c r="A175">
        <v>175</v>
      </c>
      <c r="B175" t="s">
        <v>286</v>
      </c>
      <c r="C175" t="s">
        <v>3</v>
      </c>
      <c r="D175" t="s">
        <v>58</v>
      </c>
      <c r="E175" t="s">
        <v>64</v>
      </c>
      <c r="G175" s="3">
        <v>20.399999999999999</v>
      </c>
      <c r="H175">
        <v>8270</v>
      </c>
      <c r="I175">
        <v>148524</v>
      </c>
      <c r="J175">
        <v>1</v>
      </c>
      <c r="K175">
        <v>2343</v>
      </c>
      <c r="L175" s="2">
        <v>605000</v>
      </c>
      <c r="M175" s="2">
        <v>137000000</v>
      </c>
      <c r="N175">
        <v>1</v>
      </c>
      <c r="O175">
        <v>2.9</v>
      </c>
      <c r="P175" t="s">
        <v>19</v>
      </c>
      <c r="Q175" t="s">
        <v>17</v>
      </c>
      <c r="R175" s="2">
        <f>Table4[[#This Row],[total_followers]]/(Table4[[#This Row],[total_time_streamed]] / 60)</f>
        <v>15492.957746478874</v>
      </c>
      <c r="S175" t="str">
        <f>IF(Table4[[#This Row],[avg_games_per_stream]] &gt; 2, "Variety", "Focused")</f>
        <v>Focused</v>
      </c>
      <c r="T175" s="4">
        <f>Table4[[#This Row],[avg_viewers_per_stream]] / Table4[[#This Row],[total_followers]]</f>
        <v>0.24549421487603307</v>
      </c>
    </row>
    <row r="176" spans="1:20">
      <c r="A176">
        <v>176</v>
      </c>
      <c r="B176" t="s">
        <v>287</v>
      </c>
      <c r="C176" t="s">
        <v>4</v>
      </c>
      <c r="D176" t="s">
        <v>39</v>
      </c>
      <c r="E176" t="s">
        <v>40</v>
      </c>
      <c r="F176" t="s">
        <v>51</v>
      </c>
      <c r="G176" s="3">
        <v>3.2</v>
      </c>
      <c r="H176">
        <v>1578</v>
      </c>
      <c r="I176">
        <v>28771</v>
      </c>
      <c r="J176">
        <v>1.8</v>
      </c>
      <c r="K176">
        <v>2282</v>
      </c>
      <c r="L176" s="2">
        <v>1250000</v>
      </c>
      <c r="M176" s="2">
        <v>25500000</v>
      </c>
      <c r="N176">
        <v>483</v>
      </c>
      <c r="O176">
        <v>1.8</v>
      </c>
      <c r="P176" t="s">
        <v>14</v>
      </c>
      <c r="Q176" t="s">
        <v>17</v>
      </c>
      <c r="R176" s="2">
        <f>Table4[[#This Row],[total_followers]]/(Table4[[#This Row],[total_time_streamed]] / 60)</f>
        <v>32865.907099035932</v>
      </c>
      <c r="S176" t="str">
        <f>IF(Table4[[#This Row],[avg_games_per_stream]] &gt; 2, "Variety", "Focused")</f>
        <v>Focused</v>
      </c>
      <c r="T176" s="4">
        <f>Table4[[#This Row],[avg_viewers_per_stream]] / Table4[[#This Row],[total_followers]]</f>
        <v>2.30168E-2</v>
      </c>
    </row>
    <row r="177" spans="1:20">
      <c r="A177">
        <v>177</v>
      </c>
      <c r="B177" t="s">
        <v>288</v>
      </c>
      <c r="C177" t="s">
        <v>3</v>
      </c>
      <c r="D177" t="s">
        <v>39</v>
      </c>
      <c r="E177" t="s">
        <v>74</v>
      </c>
      <c r="F177" t="s">
        <v>88</v>
      </c>
      <c r="G177" s="3">
        <v>3.8</v>
      </c>
      <c r="H177">
        <v>1241</v>
      </c>
      <c r="I177">
        <v>3957</v>
      </c>
      <c r="J177">
        <v>1.8</v>
      </c>
      <c r="K177">
        <v>2227</v>
      </c>
      <c r="L177" s="2">
        <v>717000</v>
      </c>
      <c r="M177" s="2">
        <v>2270000</v>
      </c>
      <c r="N177">
        <v>172</v>
      </c>
      <c r="O177">
        <v>1.5</v>
      </c>
      <c r="P177" t="s">
        <v>19</v>
      </c>
      <c r="Q177" t="s">
        <v>14</v>
      </c>
      <c r="R177" s="2">
        <f>Table4[[#This Row],[total_followers]]/(Table4[[#This Row],[total_time_streamed]] / 60)</f>
        <v>19317.467444993265</v>
      </c>
      <c r="S177" t="str">
        <f>IF(Table4[[#This Row],[avg_games_per_stream]] &gt; 2, "Variety", "Focused")</f>
        <v>Focused</v>
      </c>
      <c r="T177" s="4">
        <f>Table4[[#This Row],[avg_viewers_per_stream]] / Table4[[#This Row],[total_followers]]</f>
        <v>5.5188284518828453E-3</v>
      </c>
    </row>
    <row r="178" spans="1:20">
      <c r="A178">
        <v>178</v>
      </c>
      <c r="B178" t="s">
        <v>289</v>
      </c>
      <c r="C178" t="s">
        <v>3</v>
      </c>
      <c r="D178" t="s">
        <v>39</v>
      </c>
      <c r="E178" t="s">
        <v>290</v>
      </c>
      <c r="F178" t="s">
        <v>291</v>
      </c>
      <c r="G178" s="3">
        <v>5</v>
      </c>
      <c r="H178">
        <v>3060</v>
      </c>
      <c r="I178">
        <v>1959</v>
      </c>
      <c r="J178">
        <v>1.1000000000000001</v>
      </c>
      <c r="K178">
        <v>7012</v>
      </c>
      <c r="L178" s="2">
        <v>446000</v>
      </c>
      <c r="M178" s="2">
        <v>2850000</v>
      </c>
      <c r="N178">
        <v>107</v>
      </c>
      <c r="O178">
        <v>3.6</v>
      </c>
      <c r="P178" t="s">
        <v>17</v>
      </c>
      <c r="Q178" t="s">
        <v>17</v>
      </c>
      <c r="R178" s="2">
        <f>Table4[[#This Row],[total_followers]]/(Table4[[#This Row],[total_time_streamed]] / 60)</f>
        <v>3816.3148887621223</v>
      </c>
      <c r="S178" t="str">
        <f>IF(Table4[[#This Row],[avg_games_per_stream]] &gt; 2, "Variety", "Focused")</f>
        <v>Focused</v>
      </c>
      <c r="T178" s="4">
        <f>Table4[[#This Row],[avg_viewers_per_stream]] / Table4[[#This Row],[total_followers]]</f>
        <v>4.39237668161435E-3</v>
      </c>
    </row>
    <row r="179" spans="1:20">
      <c r="A179">
        <v>179</v>
      </c>
      <c r="B179" t="s">
        <v>292</v>
      </c>
      <c r="C179" t="s">
        <v>3</v>
      </c>
      <c r="D179" t="s">
        <v>58</v>
      </c>
      <c r="E179" t="s">
        <v>293</v>
      </c>
      <c r="F179" t="s">
        <v>294</v>
      </c>
      <c r="G179" s="3">
        <v>3.8</v>
      </c>
      <c r="H179">
        <v>5960</v>
      </c>
      <c r="I179">
        <v>37723</v>
      </c>
      <c r="J179">
        <v>1</v>
      </c>
      <c r="K179">
        <v>293</v>
      </c>
      <c r="L179" s="2">
        <v>462000</v>
      </c>
      <c r="M179" s="2">
        <v>29300000</v>
      </c>
      <c r="N179">
        <v>2</v>
      </c>
      <c r="O179">
        <v>2.2999999999999998</v>
      </c>
      <c r="P179" t="s">
        <v>18</v>
      </c>
      <c r="Q179" t="s">
        <v>14</v>
      </c>
      <c r="R179" s="2">
        <f>Table4[[#This Row],[total_followers]]/(Table4[[#This Row],[total_time_streamed]] / 60)</f>
        <v>94607.508532423206</v>
      </c>
      <c r="S179" t="str">
        <f>IF(Table4[[#This Row],[avg_games_per_stream]] &gt; 2, "Variety", "Focused")</f>
        <v>Focused</v>
      </c>
      <c r="T179" s="4">
        <f>Table4[[#This Row],[avg_viewers_per_stream]] / Table4[[#This Row],[total_followers]]</f>
        <v>8.1651515151515155E-2</v>
      </c>
    </row>
    <row r="180" spans="1:20">
      <c r="A180">
        <v>180</v>
      </c>
      <c r="B180" t="s">
        <v>295</v>
      </c>
      <c r="C180" t="s">
        <v>3</v>
      </c>
      <c r="D180" t="s">
        <v>58</v>
      </c>
      <c r="E180" t="s">
        <v>117</v>
      </c>
      <c r="F180" t="s">
        <v>296</v>
      </c>
      <c r="G180" s="3">
        <v>8.4</v>
      </c>
      <c r="H180">
        <v>6359</v>
      </c>
      <c r="I180">
        <v>338908</v>
      </c>
      <c r="J180">
        <v>2.5</v>
      </c>
      <c r="K180">
        <v>6140</v>
      </c>
      <c r="L180" s="2">
        <v>571000</v>
      </c>
      <c r="M180" s="2">
        <v>53500000</v>
      </c>
      <c r="N180">
        <v>40</v>
      </c>
      <c r="O180">
        <v>0.2</v>
      </c>
      <c r="P180" t="s">
        <v>16</v>
      </c>
      <c r="Q180" t="s">
        <v>14</v>
      </c>
      <c r="R180" s="2">
        <f>Table4[[#This Row],[total_followers]]/(Table4[[#This Row],[total_time_streamed]] / 60)</f>
        <v>5579.8045602605862</v>
      </c>
      <c r="S180" t="str">
        <f>IF(Table4[[#This Row],[avg_games_per_stream]] &gt; 2, "Variety", "Focused")</f>
        <v>Variety</v>
      </c>
      <c r="T180" s="4">
        <f>Table4[[#This Row],[avg_viewers_per_stream]] / Table4[[#This Row],[total_followers]]</f>
        <v>0.59353415061295967</v>
      </c>
    </row>
    <row r="181" spans="1:20">
      <c r="A181">
        <v>181</v>
      </c>
      <c r="B181" t="s">
        <v>297</v>
      </c>
      <c r="C181" t="s">
        <v>3</v>
      </c>
      <c r="D181" t="s">
        <v>39</v>
      </c>
      <c r="E181" t="s">
        <v>220</v>
      </c>
      <c r="F181" t="s">
        <v>40</v>
      </c>
      <c r="G181" s="3">
        <v>2.2000000000000002</v>
      </c>
      <c r="H181">
        <v>8030</v>
      </c>
      <c r="I181">
        <v>73454</v>
      </c>
      <c r="J181">
        <v>1</v>
      </c>
      <c r="K181">
        <v>1768</v>
      </c>
      <c r="L181" s="2">
        <v>692000</v>
      </c>
      <c r="M181" s="2">
        <v>65000000</v>
      </c>
      <c r="N181">
        <v>15</v>
      </c>
      <c r="O181">
        <v>2</v>
      </c>
      <c r="P181" t="s">
        <v>17</v>
      </c>
      <c r="Q181" t="s">
        <v>14</v>
      </c>
      <c r="R181" s="2">
        <f>Table4[[#This Row],[total_followers]]/(Table4[[#This Row],[total_time_streamed]] / 60)</f>
        <v>23484.162895927602</v>
      </c>
      <c r="S181" t="str">
        <f>IF(Table4[[#This Row],[avg_games_per_stream]] &gt; 2, "Variety", "Focused")</f>
        <v>Focused</v>
      </c>
      <c r="T181" s="4">
        <f>Table4[[#This Row],[avg_viewers_per_stream]] / Table4[[#This Row],[total_followers]]</f>
        <v>0.10614739884393064</v>
      </c>
    </row>
    <row r="182" spans="1:20">
      <c r="A182">
        <v>182</v>
      </c>
      <c r="B182" t="s">
        <v>298</v>
      </c>
      <c r="C182" t="s">
        <v>5</v>
      </c>
      <c r="D182" t="s">
        <v>39</v>
      </c>
      <c r="E182" t="s">
        <v>54</v>
      </c>
      <c r="F182" t="s">
        <v>66</v>
      </c>
      <c r="G182" s="3">
        <v>6.4</v>
      </c>
      <c r="H182">
        <v>1070</v>
      </c>
      <c r="I182">
        <v>3460</v>
      </c>
      <c r="J182">
        <v>1.1000000000000001</v>
      </c>
      <c r="K182">
        <v>714</v>
      </c>
      <c r="L182" s="2">
        <v>158000</v>
      </c>
      <c r="M182" s="2">
        <v>512000</v>
      </c>
      <c r="N182">
        <v>109</v>
      </c>
      <c r="O182">
        <v>5.7</v>
      </c>
      <c r="P182" t="s">
        <v>19</v>
      </c>
      <c r="Q182" t="s">
        <v>19</v>
      </c>
      <c r="R182" s="2">
        <f>Table4[[#This Row],[total_followers]]/(Table4[[#This Row],[total_time_streamed]] / 60)</f>
        <v>13277.310924369747</v>
      </c>
      <c r="S182" t="str">
        <f>IF(Table4[[#This Row],[avg_games_per_stream]] &gt; 2, "Variety", "Focused")</f>
        <v>Focused</v>
      </c>
      <c r="T182" s="4">
        <f>Table4[[#This Row],[avg_viewers_per_stream]] / Table4[[#This Row],[total_followers]]</f>
        <v>2.189873417721519E-2</v>
      </c>
    </row>
    <row r="183" spans="1:20">
      <c r="A183">
        <v>183</v>
      </c>
      <c r="B183" t="s">
        <v>299</v>
      </c>
      <c r="C183" t="s">
        <v>5</v>
      </c>
      <c r="D183" t="s">
        <v>39</v>
      </c>
      <c r="E183" t="s">
        <v>66</v>
      </c>
      <c r="F183" t="s">
        <v>233</v>
      </c>
      <c r="G183" s="3">
        <v>6.2</v>
      </c>
      <c r="H183">
        <v>7510</v>
      </c>
      <c r="I183">
        <v>0</v>
      </c>
      <c r="J183">
        <v>1</v>
      </c>
      <c r="K183">
        <v>1695</v>
      </c>
      <c r="L183" s="2">
        <v>225000</v>
      </c>
      <c r="M183" s="2">
        <v>0</v>
      </c>
      <c r="N183">
        <v>46</v>
      </c>
      <c r="O183">
        <v>3.7</v>
      </c>
      <c r="P183" t="s">
        <v>19</v>
      </c>
      <c r="Q183" t="s">
        <v>14</v>
      </c>
      <c r="R183" s="2">
        <f>Table4[[#This Row],[total_followers]]/(Table4[[#This Row],[total_time_streamed]] / 60)</f>
        <v>7964.6017699115046</v>
      </c>
      <c r="S183" t="str">
        <f>IF(Table4[[#This Row],[avg_games_per_stream]] &gt; 2, "Variety", "Focused")</f>
        <v>Focused</v>
      </c>
      <c r="T183" s="4">
        <f>Table4[[#This Row],[avg_viewers_per_stream]] / Table4[[#This Row],[total_followers]]</f>
        <v>0</v>
      </c>
    </row>
    <row r="184" spans="1:20">
      <c r="A184">
        <v>184</v>
      </c>
      <c r="B184" t="s">
        <v>300</v>
      </c>
      <c r="C184" t="s">
        <v>160</v>
      </c>
      <c r="D184" t="s">
        <v>39</v>
      </c>
      <c r="E184" t="s">
        <v>40</v>
      </c>
      <c r="F184" t="s">
        <v>46</v>
      </c>
      <c r="G184" s="3">
        <v>6.7</v>
      </c>
      <c r="H184">
        <v>2200</v>
      </c>
      <c r="I184">
        <v>24403</v>
      </c>
      <c r="J184">
        <v>3.2</v>
      </c>
      <c r="K184">
        <v>14031</v>
      </c>
      <c r="L184" s="2">
        <v>421000</v>
      </c>
      <c r="M184" s="2">
        <v>46300000</v>
      </c>
      <c r="N184">
        <v>797</v>
      </c>
      <c r="O184">
        <v>5.4</v>
      </c>
      <c r="P184" t="s">
        <v>14</v>
      </c>
      <c r="Q184" t="s">
        <v>19</v>
      </c>
      <c r="R184" s="2">
        <f>Table4[[#This Row],[total_followers]]/(Table4[[#This Row],[total_time_streamed]] / 60)</f>
        <v>1800.2993371819543</v>
      </c>
      <c r="S184" t="str">
        <f>IF(Table4[[#This Row],[avg_games_per_stream]] &gt; 2, "Variety", "Focused")</f>
        <v>Variety</v>
      </c>
      <c r="T184" s="4">
        <f>Table4[[#This Row],[avg_viewers_per_stream]] / Table4[[#This Row],[total_followers]]</f>
        <v>5.796437054631829E-2</v>
      </c>
    </row>
    <row r="185" spans="1:20">
      <c r="A185">
        <v>185</v>
      </c>
      <c r="B185" t="s">
        <v>301</v>
      </c>
      <c r="C185" t="s">
        <v>63</v>
      </c>
      <c r="D185" t="s">
        <v>39</v>
      </c>
      <c r="E185" t="s">
        <v>40</v>
      </c>
      <c r="F185" t="s">
        <v>150</v>
      </c>
      <c r="G185" s="3">
        <v>4.7</v>
      </c>
      <c r="H185">
        <v>8940</v>
      </c>
      <c r="I185">
        <v>38859</v>
      </c>
      <c r="J185">
        <v>2.2000000000000002</v>
      </c>
      <c r="K185">
        <v>8782</v>
      </c>
      <c r="L185" s="2">
        <v>1780000</v>
      </c>
      <c r="M185" s="2">
        <v>75600000</v>
      </c>
      <c r="N185">
        <v>551</v>
      </c>
      <c r="O185">
        <v>4.8</v>
      </c>
      <c r="P185" t="s">
        <v>15</v>
      </c>
      <c r="Q185" t="s">
        <v>20</v>
      </c>
      <c r="R185" s="2">
        <f>Table4[[#This Row],[total_followers]]/(Table4[[#This Row],[total_time_streamed]] / 60)</f>
        <v>12161.238897745388</v>
      </c>
      <c r="S185" t="str">
        <f>IF(Table4[[#This Row],[avg_games_per_stream]] &gt; 2, "Variety", "Focused")</f>
        <v>Variety</v>
      </c>
      <c r="T185" s="4">
        <f>Table4[[#This Row],[avg_viewers_per_stream]] / Table4[[#This Row],[total_followers]]</f>
        <v>2.1830898876404495E-2</v>
      </c>
    </row>
    <row r="186" spans="1:20">
      <c r="A186">
        <v>186</v>
      </c>
      <c r="B186" t="s">
        <v>302</v>
      </c>
      <c r="C186" t="s">
        <v>7</v>
      </c>
      <c r="D186" t="s">
        <v>39</v>
      </c>
      <c r="E186" t="s">
        <v>66</v>
      </c>
      <c r="F186" t="s">
        <v>40</v>
      </c>
      <c r="G186" s="3">
        <v>3.6</v>
      </c>
      <c r="H186">
        <v>1034</v>
      </c>
      <c r="I186">
        <v>4450</v>
      </c>
      <c r="J186">
        <v>1.9</v>
      </c>
      <c r="K186">
        <v>2691</v>
      </c>
      <c r="L186" s="2">
        <v>756000</v>
      </c>
      <c r="M186" s="2">
        <v>325000</v>
      </c>
      <c r="N186">
        <v>38</v>
      </c>
      <c r="O186">
        <v>4.4000000000000004</v>
      </c>
      <c r="P186" t="s">
        <v>18</v>
      </c>
      <c r="Q186" t="s">
        <v>20</v>
      </c>
      <c r="R186" s="2">
        <f>Table4[[#This Row],[total_followers]]/(Table4[[#This Row],[total_time_streamed]] / 60)</f>
        <v>16856.187290969898</v>
      </c>
      <c r="S186" t="str">
        <f>IF(Table4[[#This Row],[avg_games_per_stream]] &gt; 2, "Variety", "Focused")</f>
        <v>Focused</v>
      </c>
      <c r="T186" s="4">
        <f>Table4[[#This Row],[avg_viewers_per_stream]] / Table4[[#This Row],[total_followers]]</f>
        <v>5.8862433862433864E-3</v>
      </c>
    </row>
    <row r="187" spans="1:20">
      <c r="A187">
        <v>187</v>
      </c>
      <c r="B187" t="s">
        <v>303</v>
      </c>
      <c r="C187" t="s">
        <v>4</v>
      </c>
      <c r="D187" t="s">
        <v>39</v>
      </c>
      <c r="E187" t="s">
        <v>51</v>
      </c>
      <c r="F187" t="s">
        <v>40</v>
      </c>
      <c r="G187" s="3">
        <v>3.1</v>
      </c>
      <c r="H187">
        <v>2008</v>
      </c>
      <c r="I187">
        <v>1055</v>
      </c>
      <c r="J187">
        <v>1.4</v>
      </c>
      <c r="K187">
        <v>106</v>
      </c>
      <c r="L187" s="2">
        <v>665000</v>
      </c>
      <c r="M187" s="2">
        <v>349000</v>
      </c>
      <c r="N187">
        <v>43</v>
      </c>
      <c r="O187">
        <v>1.8</v>
      </c>
      <c r="P187" t="s">
        <v>16</v>
      </c>
      <c r="Q187" t="s">
        <v>16</v>
      </c>
      <c r="R187" s="2">
        <f>Table4[[#This Row],[total_followers]]/(Table4[[#This Row],[total_time_streamed]] / 60)</f>
        <v>376415.09433962265</v>
      </c>
      <c r="S187" t="str">
        <f>IF(Table4[[#This Row],[avg_games_per_stream]] &gt; 2, "Variety", "Focused")</f>
        <v>Focused</v>
      </c>
      <c r="T187" s="4">
        <f>Table4[[#This Row],[avg_viewers_per_stream]] / Table4[[#This Row],[total_followers]]</f>
        <v>1.5864661654135339E-3</v>
      </c>
    </row>
    <row r="188" spans="1:20">
      <c r="A188">
        <v>188</v>
      </c>
      <c r="B188" t="s">
        <v>304</v>
      </c>
      <c r="C188" t="s">
        <v>4</v>
      </c>
      <c r="D188" t="s">
        <v>39</v>
      </c>
      <c r="E188" t="s">
        <v>40</v>
      </c>
      <c r="F188" t="s">
        <v>117</v>
      </c>
      <c r="G188" s="3">
        <v>4.3</v>
      </c>
      <c r="H188">
        <v>1349</v>
      </c>
      <c r="I188">
        <v>32261</v>
      </c>
      <c r="J188">
        <v>2</v>
      </c>
      <c r="K188">
        <v>2843</v>
      </c>
      <c r="L188" s="2">
        <v>974000</v>
      </c>
      <c r="M188" s="2">
        <v>22400000</v>
      </c>
      <c r="N188">
        <v>341</v>
      </c>
      <c r="O188">
        <v>2.2000000000000002</v>
      </c>
      <c r="P188" t="s">
        <v>14</v>
      </c>
      <c r="Q188" t="s">
        <v>15</v>
      </c>
      <c r="R188" s="2">
        <f>Table4[[#This Row],[total_followers]]/(Table4[[#This Row],[total_time_streamed]] / 60)</f>
        <v>20555.750967288077</v>
      </c>
      <c r="S188" t="str">
        <f>IF(Table4[[#This Row],[avg_games_per_stream]] &gt; 2, "Variety", "Focused")</f>
        <v>Focused</v>
      </c>
      <c r="T188" s="4">
        <f>Table4[[#This Row],[avg_viewers_per_stream]] / Table4[[#This Row],[total_followers]]</f>
        <v>3.3122176591375771E-2</v>
      </c>
    </row>
    <row r="189" spans="1:20">
      <c r="A189">
        <v>189</v>
      </c>
      <c r="B189" t="s">
        <v>305</v>
      </c>
      <c r="C189" t="s">
        <v>63</v>
      </c>
      <c r="D189" t="s">
        <v>39</v>
      </c>
      <c r="E189" t="s">
        <v>56</v>
      </c>
      <c r="F189" t="s">
        <v>40</v>
      </c>
      <c r="G189" s="3">
        <v>4.2</v>
      </c>
      <c r="H189">
        <v>1418</v>
      </c>
      <c r="I189">
        <v>7920</v>
      </c>
      <c r="J189">
        <v>1.5</v>
      </c>
      <c r="K189">
        <v>2586</v>
      </c>
      <c r="L189" s="2">
        <v>866000</v>
      </c>
      <c r="M189" s="2">
        <v>484000</v>
      </c>
      <c r="N189">
        <v>49</v>
      </c>
      <c r="O189">
        <v>2.4</v>
      </c>
      <c r="P189" t="s">
        <v>14</v>
      </c>
      <c r="Q189" t="s">
        <v>14</v>
      </c>
      <c r="R189" s="2">
        <f>Table4[[#This Row],[total_followers]]/(Table4[[#This Row],[total_time_streamed]] / 60)</f>
        <v>20092.807424593968</v>
      </c>
      <c r="S189" t="str">
        <f>IF(Table4[[#This Row],[avg_games_per_stream]] &gt; 2, "Variety", "Focused")</f>
        <v>Focused</v>
      </c>
      <c r="T189" s="4">
        <f>Table4[[#This Row],[avg_viewers_per_stream]] / Table4[[#This Row],[total_followers]]</f>
        <v>9.1454965357967676E-3</v>
      </c>
    </row>
    <row r="190" spans="1:20">
      <c r="A190">
        <v>190</v>
      </c>
      <c r="B190" t="s">
        <v>306</v>
      </c>
      <c r="C190" t="s">
        <v>3</v>
      </c>
      <c r="D190" t="s">
        <v>58</v>
      </c>
      <c r="E190" t="s">
        <v>307</v>
      </c>
      <c r="F190" t="s">
        <v>44</v>
      </c>
      <c r="G190" s="3">
        <v>3</v>
      </c>
      <c r="H190">
        <v>2610</v>
      </c>
      <c r="I190">
        <v>211701</v>
      </c>
      <c r="J190">
        <v>1</v>
      </c>
      <c r="K190">
        <v>2882</v>
      </c>
      <c r="L190" s="2">
        <v>237000</v>
      </c>
      <c r="M190" s="2">
        <v>192000000</v>
      </c>
      <c r="N190">
        <v>8</v>
      </c>
      <c r="O190">
        <v>3</v>
      </c>
      <c r="P190" t="s">
        <v>15</v>
      </c>
      <c r="Q190" t="s">
        <v>15</v>
      </c>
      <c r="R190" s="2">
        <f>Table4[[#This Row],[total_followers]]/(Table4[[#This Row],[total_time_streamed]] / 60)</f>
        <v>4934.0735600277585</v>
      </c>
      <c r="S190" t="str">
        <f>IF(Table4[[#This Row],[avg_games_per_stream]] &gt; 2, "Variety", "Focused")</f>
        <v>Focused</v>
      </c>
      <c r="T190" s="4">
        <f>Table4[[#This Row],[avg_viewers_per_stream]] / Table4[[#This Row],[total_followers]]</f>
        <v>0.89325316455696202</v>
      </c>
    </row>
    <row r="191" spans="1:20">
      <c r="A191">
        <v>191</v>
      </c>
      <c r="B191" t="s">
        <v>308</v>
      </c>
      <c r="C191" t="s">
        <v>2</v>
      </c>
      <c r="D191" t="s">
        <v>39</v>
      </c>
      <c r="E191" t="s">
        <v>40</v>
      </c>
      <c r="F191" t="s">
        <v>96</v>
      </c>
      <c r="G191" s="3">
        <v>4.2</v>
      </c>
      <c r="H191">
        <v>2170</v>
      </c>
      <c r="I191">
        <v>19944</v>
      </c>
      <c r="J191">
        <v>1.1000000000000001</v>
      </c>
      <c r="K191">
        <v>1329</v>
      </c>
      <c r="L191" s="2">
        <v>71100</v>
      </c>
      <c r="M191" s="2">
        <v>6520000</v>
      </c>
      <c r="N191">
        <v>16</v>
      </c>
      <c r="O191">
        <v>1.5</v>
      </c>
      <c r="P191" t="s">
        <v>14</v>
      </c>
      <c r="Q191" t="s">
        <v>18</v>
      </c>
      <c r="R191" s="2">
        <f>Table4[[#This Row],[total_followers]]/(Table4[[#This Row],[total_time_streamed]] / 60)</f>
        <v>3209.9322799097067</v>
      </c>
      <c r="S191" t="str">
        <f>IF(Table4[[#This Row],[avg_games_per_stream]] &gt; 2, "Variety", "Focused")</f>
        <v>Focused</v>
      </c>
      <c r="T191" s="4">
        <f>Table4[[#This Row],[avg_viewers_per_stream]] / Table4[[#This Row],[total_followers]]</f>
        <v>0.28050632911392404</v>
      </c>
    </row>
    <row r="192" spans="1:20">
      <c r="A192">
        <v>192</v>
      </c>
      <c r="B192" t="s">
        <v>309</v>
      </c>
      <c r="C192" t="s">
        <v>5</v>
      </c>
      <c r="D192" t="s">
        <v>39</v>
      </c>
      <c r="E192" t="s">
        <v>54</v>
      </c>
      <c r="F192" t="s">
        <v>68</v>
      </c>
      <c r="G192" s="3">
        <v>5.8</v>
      </c>
      <c r="H192">
        <v>5110</v>
      </c>
      <c r="I192">
        <v>1105</v>
      </c>
      <c r="J192">
        <v>1.3</v>
      </c>
      <c r="K192">
        <v>4939</v>
      </c>
      <c r="L192" s="2">
        <v>526000</v>
      </c>
      <c r="M192" s="2">
        <v>1170000</v>
      </c>
      <c r="N192">
        <v>88</v>
      </c>
      <c r="O192">
        <v>2.2000000000000002</v>
      </c>
      <c r="P192" t="s">
        <v>15</v>
      </c>
      <c r="Q192" t="s">
        <v>14</v>
      </c>
      <c r="R192" s="2">
        <f>Table4[[#This Row],[total_followers]]/(Table4[[#This Row],[total_time_streamed]] / 60)</f>
        <v>6389.9574812715127</v>
      </c>
      <c r="S192" t="str">
        <f>IF(Table4[[#This Row],[avg_games_per_stream]] &gt; 2, "Variety", "Focused")</f>
        <v>Focused</v>
      </c>
      <c r="T192" s="4">
        <f>Table4[[#This Row],[avg_viewers_per_stream]] / Table4[[#This Row],[total_followers]]</f>
        <v>2.1007604562737641E-3</v>
      </c>
    </row>
    <row r="193" spans="1:20">
      <c r="A193">
        <v>193</v>
      </c>
      <c r="B193" t="s">
        <v>310</v>
      </c>
      <c r="C193" t="s">
        <v>3</v>
      </c>
      <c r="D193" t="s">
        <v>39</v>
      </c>
      <c r="E193" t="s">
        <v>51</v>
      </c>
      <c r="F193" t="s">
        <v>40</v>
      </c>
      <c r="G193" s="3">
        <v>2.6</v>
      </c>
      <c r="H193">
        <v>10314</v>
      </c>
      <c r="I193">
        <v>23397</v>
      </c>
      <c r="J193">
        <v>1.1000000000000001</v>
      </c>
      <c r="K193">
        <v>5520</v>
      </c>
      <c r="L193" s="2">
        <v>2120000</v>
      </c>
      <c r="M193" s="2">
        <v>4820000</v>
      </c>
      <c r="N193">
        <v>38</v>
      </c>
      <c r="O193">
        <v>0.7</v>
      </c>
      <c r="P193" t="s">
        <v>15</v>
      </c>
      <c r="Q193" t="s">
        <v>15</v>
      </c>
      <c r="R193" s="2">
        <f>Table4[[#This Row],[total_followers]]/(Table4[[#This Row],[total_time_streamed]] / 60)</f>
        <v>23043.478260869564</v>
      </c>
      <c r="S193" t="str">
        <f>IF(Table4[[#This Row],[avg_games_per_stream]] &gt; 2, "Variety", "Focused")</f>
        <v>Focused</v>
      </c>
      <c r="T193" s="4">
        <f>Table4[[#This Row],[avg_viewers_per_stream]] / Table4[[#This Row],[total_followers]]</f>
        <v>1.103632075471698E-2</v>
      </c>
    </row>
    <row r="194" spans="1:20">
      <c r="A194">
        <v>194</v>
      </c>
      <c r="B194" t="s">
        <v>311</v>
      </c>
      <c r="C194" t="s">
        <v>3</v>
      </c>
      <c r="D194" t="s">
        <v>39</v>
      </c>
      <c r="E194" t="s">
        <v>74</v>
      </c>
      <c r="F194" t="s">
        <v>51</v>
      </c>
      <c r="G194" s="3">
        <v>4.2</v>
      </c>
      <c r="H194">
        <v>3713</v>
      </c>
      <c r="I194">
        <v>37588</v>
      </c>
      <c r="J194">
        <v>1.1000000000000001</v>
      </c>
      <c r="K194">
        <v>4223</v>
      </c>
      <c r="L194" s="2">
        <v>4110000</v>
      </c>
      <c r="M194" s="2">
        <v>41600000</v>
      </c>
      <c r="N194">
        <v>42</v>
      </c>
      <c r="O194">
        <v>3.2</v>
      </c>
      <c r="P194" t="s">
        <v>15</v>
      </c>
      <c r="Q194" t="s">
        <v>14</v>
      </c>
      <c r="R194" s="2">
        <f>Table4[[#This Row],[total_followers]]/(Table4[[#This Row],[total_time_streamed]] / 60)</f>
        <v>58394.506275159831</v>
      </c>
      <c r="S194" t="str">
        <f>IF(Table4[[#This Row],[avg_games_per_stream]] &gt; 2, "Variety", "Focused")</f>
        <v>Focused</v>
      </c>
      <c r="T194" s="4">
        <f>Table4[[#This Row],[avg_viewers_per_stream]] / Table4[[#This Row],[total_followers]]</f>
        <v>9.1454987834549886E-3</v>
      </c>
    </row>
    <row r="195" spans="1:20">
      <c r="A195">
        <v>195</v>
      </c>
      <c r="B195" t="s">
        <v>312</v>
      </c>
      <c r="C195" t="s">
        <v>7</v>
      </c>
      <c r="D195" t="s">
        <v>39</v>
      </c>
      <c r="E195" t="s">
        <v>40</v>
      </c>
      <c r="F195" t="s">
        <v>74</v>
      </c>
      <c r="G195" s="3">
        <v>2.6</v>
      </c>
      <c r="H195">
        <v>2580</v>
      </c>
      <c r="I195">
        <v>2720</v>
      </c>
      <c r="J195">
        <v>1.7</v>
      </c>
      <c r="K195">
        <v>2921</v>
      </c>
      <c r="L195" s="2">
        <v>262000</v>
      </c>
      <c r="M195" s="2">
        <v>276000</v>
      </c>
      <c r="N195">
        <v>36</v>
      </c>
      <c r="O195">
        <v>5</v>
      </c>
      <c r="P195" t="s">
        <v>19</v>
      </c>
      <c r="Q195" t="s">
        <v>14</v>
      </c>
      <c r="R195" s="2">
        <f>Table4[[#This Row],[total_followers]]/(Table4[[#This Row],[total_time_streamed]] / 60)</f>
        <v>5381.7185895241355</v>
      </c>
      <c r="S195" t="str">
        <f>IF(Table4[[#This Row],[avg_games_per_stream]] &gt; 2, "Variety", "Focused")</f>
        <v>Focused</v>
      </c>
      <c r="T195" s="4">
        <f>Table4[[#This Row],[avg_viewers_per_stream]] / Table4[[#This Row],[total_followers]]</f>
        <v>1.0381679389312977E-2</v>
      </c>
    </row>
    <row r="196" spans="1:20">
      <c r="A196">
        <v>196</v>
      </c>
      <c r="B196" t="s">
        <v>313</v>
      </c>
      <c r="C196" t="s">
        <v>3</v>
      </c>
      <c r="D196" t="s">
        <v>39</v>
      </c>
      <c r="E196" t="s">
        <v>314</v>
      </c>
      <c r="F196" t="s">
        <v>40</v>
      </c>
      <c r="G196" s="3">
        <v>5.5</v>
      </c>
      <c r="H196">
        <v>6480</v>
      </c>
      <c r="I196">
        <v>11474</v>
      </c>
      <c r="J196">
        <v>1.7</v>
      </c>
      <c r="K196">
        <v>8008</v>
      </c>
      <c r="L196" s="2">
        <v>951000</v>
      </c>
      <c r="M196" s="2">
        <v>16800000</v>
      </c>
      <c r="N196">
        <v>285</v>
      </c>
      <c r="O196">
        <v>5.3</v>
      </c>
      <c r="P196" t="s">
        <v>20</v>
      </c>
      <c r="Q196" t="s">
        <v>17</v>
      </c>
      <c r="R196" s="2">
        <f>Table4[[#This Row],[total_followers]]/(Table4[[#This Row],[total_time_streamed]] / 60)</f>
        <v>7125.3746253746249</v>
      </c>
      <c r="S196" t="str">
        <f>IF(Table4[[#This Row],[avg_games_per_stream]] &gt; 2, "Variety", "Focused")</f>
        <v>Focused</v>
      </c>
      <c r="T196" s="4">
        <f>Table4[[#This Row],[avg_viewers_per_stream]] / Table4[[#This Row],[total_followers]]</f>
        <v>1.2065194532071504E-2</v>
      </c>
    </row>
    <row r="197" spans="1:20">
      <c r="A197">
        <v>197</v>
      </c>
      <c r="B197" t="s">
        <v>315</v>
      </c>
      <c r="C197" t="s">
        <v>7</v>
      </c>
      <c r="D197" t="s">
        <v>39</v>
      </c>
      <c r="E197" t="s">
        <v>66</v>
      </c>
      <c r="F197" t="s">
        <v>40</v>
      </c>
      <c r="G197" s="3">
        <v>3.4</v>
      </c>
      <c r="H197">
        <v>9053</v>
      </c>
      <c r="I197">
        <v>69452</v>
      </c>
      <c r="J197">
        <v>1.7</v>
      </c>
      <c r="K197">
        <v>1115</v>
      </c>
      <c r="L197" s="2">
        <v>2680000</v>
      </c>
      <c r="M197" s="2">
        <v>20400000</v>
      </c>
      <c r="N197">
        <v>18</v>
      </c>
      <c r="O197">
        <v>1.6</v>
      </c>
      <c r="P197" t="s">
        <v>17</v>
      </c>
      <c r="Q197" t="s">
        <v>18</v>
      </c>
      <c r="R197" s="2">
        <f>Table4[[#This Row],[total_followers]]/(Table4[[#This Row],[total_time_streamed]] / 60)</f>
        <v>144215.24663677131</v>
      </c>
      <c r="S197" t="str">
        <f>IF(Table4[[#This Row],[avg_games_per_stream]] &gt; 2, "Variety", "Focused")</f>
        <v>Focused</v>
      </c>
      <c r="T197" s="4">
        <f>Table4[[#This Row],[avg_viewers_per_stream]] / Table4[[#This Row],[total_followers]]</f>
        <v>2.5914925373134327E-2</v>
      </c>
    </row>
    <row r="198" spans="1:20">
      <c r="A198">
        <v>198</v>
      </c>
      <c r="B198" t="s">
        <v>316</v>
      </c>
      <c r="C198" t="s">
        <v>3</v>
      </c>
      <c r="D198" t="s">
        <v>39</v>
      </c>
      <c r="E198" t="s">
        <v>46</v>
      </c>
      <c r="F198" t="s">
        <v>199</v>
      </c>
      <c r="G198" s="3">
        <v>4.8</v>
      </c>
      <c r="H198">
        <v>9620</v>
      </c>
      <c r="I198">
        <v>6589</v>
      </c>
      <c r="J198">
        <v>1.1000000000000001</v>
      </c>
      <c r="K198">
        <v>6108</v>
      </c>
      <c r="L198" s="2">
        <v>1790000</v>
      </c>
      <c r="M198" s="2">
        <v>102000000</v>
      </c>
      <c r="N198">
        <v>50</v>
      </c>
      <c r="O198">
        <v>3.2</v>
      </c>
      <c r="P198" t="s">
        <v>18</v>
      </c>
      <c r="Q198" t="s">
        <v>17</v>
      </c>
      <c r="R198" s="2">
        <f>Table4[[#This Row],[total_followers]]/(Table4[[#This Row],[total_time_streamed]] / 60)</f>
        <v>17583.497053045186</v>
      </c>
      <c r="S198" t="str">
        <f>IF(Table4[[#This Row],[avg_games_per_stream]] &gt; 2, "Variety", "Focused")</f>
        <v>Focused</v>
      </c>
      <c r="T198" s="4">
        <f>Table4[[#This Row],[avg_viewers_per_stream]] / Table4[[#This Row],[total_followers]]</f>
        <v>3.6810055865921787E-3</v>
      </c>
    </row>
    <row r="199" spans="1:20">
      <c r="A199">
        <v>199</v>
      </c>
      <c r="B199" t="s">
        <v>317</v>
      </c>
      <c r="C199" t="s">
        <v>3</v>
      </c>
      <c r="D199" t="s">
        <v>39</v>
      </c>
      <c r="E199" t="s">
        <v>40</v>
      </c>
      <c r="F199" t="s">
        <v>220</v>
      </c>
      <c r="G199" s="3">
        <v>3.1</v>
      </c>
      <c r="H199">
        <v>8880</v>
      </c>
      <c r="I199">
        <v>21487</v>
      </c>
      <c r="J199">
        <v>1.3</v>
      </c>
      <c r="K199">
        <v>2996</v>
      </c>
      <c r="L199" s="2">
        <v>815000</v>
      </c>
      <c r="M199" s="2">
        <v>19700000</v>
      </c>
      <c r="N199">
        <v>89</v>
      </c>
      <c r="O199">
        <v>3.5</v>
      </c>
      <c r="P199" t="s">
        <v>18</v>
      </c>
      <c r="Q199" t="s">
        <v>16</v>
      </c>
      <c r="R199" s="2">
        <f>Table4[[#This Row],[total_followers]]/(Table4[[#This Row],[total_time_streamed]] / 60)</f>
        <v>16321.762349799734</v>
      </c>
      <c r="S199" t="str">
        <f>IF(Table4[[#This Row],[avg_games_per_stream]] &gt; 2, "Variety", "Focused")</f>
        <v>Focused</v>
      </c>
      <c r="T199" s="4">
        <f>Table4[[#This Row],[avg_viewers_per_stream]] / Table4[[#This Row],[total_followers]]</f>
        <v>2.6364417177914112E-2</v>
      </c>
    </row>
    <row r="200" spans="1:20">
      <c r="A200">
        <v>200</v>
      </c>
      <c r="B200" t="s">
        <v>318</v>
      </c>
      <c r="C200" t="s">
        <v>3</v>
      </c>
      <c r="D200" t="s">
        <v>39</v>
      </c>
      <c r="E200" t="s">
        <v>88</v>
      </c>
      <c r="F200" t="s">
        <v>319</v>
      </c>
      <c r="G200" s="3">
        <v>5.2</v>
      </c>
      <c r="H200">
        <v>1506</v>
      </c>
      <c r="I200">
        <v>32447</v>
      </c>
      <c r="J200">
        <v>1.2</v>
      </c>
      <c r="K200">
        <v>5777</v>
      </c>
      <c r="L200" s="2">
        <v>1690000</v>
      </c>
      <c r="M200" s="2">
        <v>42700000</v>
      </c>
      <c r="N200">
        <v>58</v>
      </c>
      <c r="O200">
        <v>2.9</v>
      </c>
      <c r="P200" t="s">
        <v>20</v>
      </c>
      <c r="Q200" t="s">
        <v>14</v>
      </c>
      <c r="R200" s="2">
        <f>Table4[[#This Row],[total_followers]]/(Table4[[#This Row],[total_time_streamed]] / 60)</f>
        <v>17552.362818071662</v>
      </c>
      <c r="S200" t="str">
        <f>IF(Table4[[#This Row],[avg_games_per_stream]] &gt; 2, "Variety", "Focused")</f>
        <v>Focused</v>
      </c>
      <c r="T200" s="4">
        <f>Table4[[#This Row],[avg_viewers_per_stream]] / Table4[[#This Row],[total_followers]]</f>
        <v>1.919940828402367E-2</v>
      </c>
    </row>
    <row r="201" spans="1:20">
      <c r="A201">
        <v>201</v>
      </c>
      <c r="B201" t="s">
        <v>320</v>
      </c>
      <c r="C201" t="s">
        <v>3</v>
      </c>
      <c r="D201" t="s">
        <v>39</v>
      </c>
      <c r="E201" t="s">
        <v>40</v>
      </c>
      <c r="F201" t="s">
        <v>68</v>
      </c>
      <c r="G201" s="3">
        <v>5.4</v>
      </c>
      <c r="H201">
        <v>1907</v>
      </c>
      <c r="I201">
        <v>1367</v>
      </c>
      <c r="J201">
        <v>2</v>
      </c>
      <c r="K201">
        <v>3668</v>
      </c>
      <c r="L201" s="2">
        <v>1270000</v>
      </c>
      <c r="M201" s="2">
        <v>9130000</v>
      </c>
      <c r="N201">
        <v>352</v>
      </c>
      <c r="O201">
        <v>1.8</v>
      </c>
      <c r="P201" t="s">
        <v>19</v>
      </c>
      <c r="Q201" t="s">
        <v>16</v>
      </c>
      <c r="R201" s="2">
        <f>Table4[[#This Row],[total_followers]]/(Table4[[#This Row],[total_time_streamed]] / 60)</f>
        <v>20774.263904034895</v>
      </c>
      <c r="S201" t="str">
        <f>IF(Table4[[#This Row],[avg_games_per_stream]] &gt; 2, "Variety", "Focused")</f>
        <v>Focused</v>
      </c>
      <c r="T201" s="4">
        <f>Table4[[#This Row],[avg_viewers_per_stream]] / Table4[[#This Row],[total_followers]]</f>
        <v>1.0763779527559055E-3</v>
      </c>
    </row>
    <row r="202" spans="1:20">
      <c r="A202">
        <v>202</v>
      </c>
      <c r="B202" t="s">
        <v>321</v>
      </c>
      <c r="C202" t="s">
        <v>61</v>
      </c>
      <c r="D202" t="s">
        <v>39</v>
      </c>
      <c r="E202" t="s">
        <v>145</v>
      </c>
      <c r="F202" t="s">
        <v>193</v>
      </c>
      <c r="G202" s="3">
        <v>5.4</v>
      </c>
      <c r="H202">
        <v>1261</v>
      </c>
      <c r="I202">
        <v>2501</v>
      </c>
      <c r="J202">
        <v>1.5</v>
      </c>
      <c r="K202">
        <v>1994</v>
      </c>
      <c r="L202" s="2">
        <v>460000</v>
      </c>
      <c r="M202" s="2">
        <v>902000</v>
      </c>
      <c r="N202">
        <v>24</v>
      </c>
      <c r="O202">
        <v>2.6</v>
      </c>
      <c r="P202" t="s">
        <v>14</v>
      </c>
      <c r="Q202" t="s">
        <v>19</v>
      </c>
      <c r="R202" s="2">
        <f>Table4[[#This Row],[total_followers]]/(Table4[[#This Row],[total_time_streamed]] / 60)</f>
        <v>13841.524573721163</v>
      </c>
      <c r="S202" t="str">
        <f>IF(Table4[[#This Row],[avg_games_per_stream]] &gt; 2, "Variety", "Focused")</f>
        <v>Focused</v>
      </c>
      <c r="T202" s="4">
        <f>Table4[[#This Row],[avg_viewers_per_stream]] / Table4[[#This Row],[total_followers]]</f>
        <v>5.4369565217391308E-3</v>
      </c>
    </row>
    <row r="203" spans="1:20">
      <c r="A203">
        <v>203</v>
      </c>
      <c r="B203" t="s">
        <v>322</v>
      </c>
      <c r="C203" t="s">
        <v>91</v>
      </c>
      <c r="D203" t="s">
        <v>39</v>
      </c>
      <c r="E203" t="s">
        <v>74</v>
      </c>
      <c r="F203" t="s">
        <v>40</v>
      </c>
      <c r="G203" s="3">
        <v>5.5</v>
      </c>
      <c r="H203">
        <v>8880</v>
      </c>
      <c r="I203">
        <v>819</v>
      </c>
      <c r="J203">
        <v>3.6</v>
      </c>
      <c r="K203">
        <v>10623</v>
      </c>
      <c r="L203" s="2">
        <v>1510000</v>
      </c>
      <c r="M203" s="2">
        <v>13900000</v>
      </c>
      <c r="N203">
        <v>452</v>
      </c>
      <c r="O203">
        <v>6.4</v>
      </c>
      <c r="P203" t="s">
        <v>16</v>
      </c>
      <c r="Q203" t="s">
        <v>17</v>
      </c>
      <c r="R203" s="2">
        <f>Table4[[#This Row],[total_followers]]/(Table4[[#This Row],[total_time_streamed]] / 60)</f>
        <v>8528.6642191471328</v>
      </c>
      <c r="S203" t="str">
        <f>IF(Table4[[#This Row],[avg_games_per_stream]] &gt; 2, "Variety", "Focused")</f>
        <v>Variety</v>
      </c>
      <c r="T203" s="4">
        <f>Table4[[#This Row],[avg_viewers_per_stream]] / Table4[[#This Row],[total_followers]]</f>
        <v>5.423841059602649E-4</v>
      </c>
    </row>
    <row r="204" spans="1:20">
      <c r="A204">
        <v>204</v>
      </c>
      <c r="B204" t="s">
        <v>323</v>
      </c>
      <c r="C204" t="s">
        <v>63</v>
      </c>
      <c r="D204" t="s">
        <v>39</v>
      </c>
      <c r="E204" t="s">
        <v>40</v>
      </c>
      <c r="F204" t="s">
        <v>66</v>
      </c>
      <c r="G204" s="3">
        <v>3.3</v>
      </c>
      <c r="H204">
        <v>4960</v>
      </c>
      <c r="I204">
        <v>1964</v>
      </c>
      <c r="J204">
        <v>1.6</v>
      </c>
      <c r="K204">
        <v>3215</v>
      </c>
      <c r="L204" s="2">
        <v>482000</v>
      </c>
      <c r="M204" s="2">
        <v>1910000</v>
      </c>
      <c r="N204">
        <v>48</v>
      </c>
      <c r="O204">
        <v>3.5</v>
      </c>
      <c r="P204" t="s">
        <v>19</v>
      </c>
      <c r="Q204" t="s">
        <v>14</v>
      </c>
      <c r="R204" s="2">
        <f>Table4[[#This Row],[total_followers]]/(Table4[[#This Row],[total_time_streamed]] / 60)</f>
        <v>8995.3343701399681</v>
      </c>
      <c r="S204" t="str">
        <f>IF(Table4[[#This Row],[avg_games_per_stream]] &gt; 2, "Variety", "Focused")</f>
        <v>Focused</v>
      </c>
      <c r="T204" s="4">
        <f>Table4[[#This Row],[avg_viewers_per_stream]] / Table4[[#This Row],[total_followers]]</f>
        <v>4.0746887966804975E-3</v>
      </c>
    </row>
    <row r="205" spans="1:20">
      <c r="A205">
        <v>205</v>
      </c>
      <c r="B205" t="s">
        <v>324</v>
      </c>
      <c r="C205" t="s">
        <v>63</v>
      </c>
      <c r="D205" t="s">
        <v>39</v>
      </c>
      <c r="E205" t="s">
        <v>64</v>
      </c>
      <c r="F205" t="s">
        <v>40</v>
      </c>
      <c r="G205" s="3">
        <v>6.8</v>
      </c>
      <c r="H205">
        <v>9420</v>
      </c>
      <c r="I205">
        <v>22722</v>
      </c>
      <c r="J205">
        <v>1.9</v>
      </c>
      <c r="K205">
        <v>5242</v>
      </c>
      <c r="L205" s="2">
        <v>776000</v>
      </c>
      <c r="M205" s="2">
        <v>18700000</v>
      </c>
      <c r="N205">
        <v>59</v>
      </c>
      <c r="O205">
        <v>2.8</v>
      </c>
      <c r="P205" t="s">
        <v>15</v>
      </c>
      <c r="Q205" t="s">
        <v>14</v>
      </c>
      <c r="R205" s="2">
        <f>Table4[[#This Row],[total_followers]]/(Table4[[#This Row],[total_time_streamed]] / 60)</f>
        <v>8882.1060663868757</v>
      </c>
      <c r="S205" t="str">
        <f>IF(Table4[[#This Row],[avg_games_per_stream]] &gt; 2, "Variety", "Focused")</f>
        <v>Focused</v>
      </c>
      <c r="T205" s="4">
        <f>Table4[[#This Row],[avg_viewers_per_stream]] / Table4[[#This Row],[total_followers]]</f>
        <v>2.9280927835051547E-2</v>
      </c>
    </row>
    <row r="206" spans="1:20">
      <c r="A206">
        <v>206</v>
      </c>
      <c r="B206" t="s">
        <v>325</v>
      </c>
      <c r="C206" t="s">
        <v>7</v>
      </c>
      <c r="D206" t="s">
        <v>39</v>
      </c>
      <c r="E206" t="s">
        <v>66</v>
      </c>
      <c r="F206" t="s">
        <v>40</v>
      </c>
      <c r="G206" s="3">
        <v>4.5999999999999996</v>
      </c>
      <c r="H206">
        <v>8140</v>
      </c>
      <c r="I206">
        <v>14052</v>
      </c>
      <c r="J206">
        <v>1.7</v>
      </c>
      <c r="K206">
        <v>39</v>
      </c>
      <c r="L206" s="2">
        <v>750000</v>
      </c>
      <c r="M206" s="2">
        <v>12900000</v>
      </c>
      <c r="N206">
        <v>54</v>
      </c>
      <c r="O206">
        <v>2.4</v>
      </c>
      <c r="P206" t="s">
        <v>16</v>
      </c>
      <c r="Q206" t="s">
        <v>16</v>
      </c>
      <c r="R206" s="2">
        <f>Table4[[#This Row],[total_followers]]/(Table4[[#This Row],[total_time_streamed]] / 60)</f>
        <v>1153846.1538461538</v>
      </c>
      <c r="S206" t="str">
        <f>IF(Table4[[#This Row],[avg_games_per_stream]] &gt; 2, "Variety", "Focused")</f>
        <v>Focused</v>
      </c>
      <c r="T206" s="4">
        <f>Table4[[#This Row],[avg_viewers_per_stream]] / Table4[[#This Row],[total_followers]]</f>
        <v>1.8735999999999999E-2</v>
      </c>
    </row>
    <row r="207" spans="1:20">
      <c r="A207">
        <v>207</v>
      </c>
      <c r="B207" t="s">
        <v>326</v>
      </c>
      <c r="C207" t="s">
        <v>7</v>
      </c>
      <c r="D207" t="s">
        <v>39</v>
      </c>
      <c r="E207" t="s">
        <v>40</v>
      </c>
      <c r="F207" t="s">
        <v>327</v>
      </c>
      <c r="G207" s="3">
        <v>1.8</v>
      </c>
      <c r="H207">
        <v>2980</v>
      </c>
      <c r="I207">
        <v>5580</v>
      </c>
      <c r="J207">
        <v>1</v>
      </c>
      <c r="K207">
        <v>1031</v>
      </c>
      <c r="L207" s="2">
        <v>180000</v>
      </c>
      <c r="M207" s="2">
        <v>313000</v>
      </c>
      <c r="N207">
        <v>17</v>
      </c>
      <c r="O207">
        <v>4.2</v>
      </c>
      <c r="P207" t="s">
        <v>17</v>
      </c>
      <c r="Q207" t="s">
        <v>17</v>
      </c>
      <c r="R207" s="2">
        <f>Table4[[#This Row],[total_followers]]/(Table4[[#This Row],[total_time_streamed]] / 60)</f>
        <v>10475.266731328808</v>
      </c>
      <c r="S207" t="str">
        <f>IF(Table4[[#This Row],[avg_games_per_stream]] &gt; 2, "Variety", "Focused")</f>
        <v>Focused</v>
      </c>
      <c r="T207" s="4">
        <f>Table4[[#This Row],[avg_viewers_per_stream]] / Table4[[#This Row],[total_followers]]</f>
        <v>3.1E-2</v>
      </c>
    </row>
    <row r="208" spans="1:20">
      <c r="A208">
        <v>208</v>
      </c>
      <c r="B208" t="s">
        <v>328</v>
      </c>
      <c r="C208" t="s">
        <v>3</v>
      </c>
      <c r="D208" t="s">
        <v>58</v>
      </c>
      <c r="E208" t="s">
        <v>46</v>
      </c>
      <c r="F208" t="s">
        <v>74</v>
      </c>
      <c r="G208" s="3">
        <v>4.4000000000000004</v>
      </c>
      <c r="H208">
        <v>4361</v>
      </c>
      <c r="I208">
        <v>481615</v>
      </c>
      <c r="J208">
        <v>1.1000000000000001</v>
      </c>
      <c r="K208">
        <v>301</v>
      </c>
      <c r="L208" s="2">
        <v>2440000</v>
      </c>
      <c r="M208" s="2">
        <v>269000000</v>
      </c>
      <c r="N208">
        <v>122</v>
      </c>
      <c r="O208">
        <v>2.1</v>
      </c>
      <c r="P208" t="s">
        <v>20</v>
      </c>
      <c r="Q208" t="s">
        <v>14</v>
      </c>
      <c r="R208" s="2">
        <f>Table4[[#This Row],[total_followers]]/(Table4[[#This Row],[total_time_streamed]] / 60)</f>
        <v>486378.73754152824</v>
      </c>
      <c r="S208" t="str">
        <f>IF(Table4[[#This Row],[avg_games_per_stream]] &gt; 2, "Variety", "Focused")</f>
        <v>Focused</v>
      </c>
      <c r="T208" s="4">
        <f>Table4[[#This Row],[avg_viewers_per_stream]] / Table4[[#This Row],[total_followers]]</f>
        <v>0.19738319672131147</v>
      </c>
    </row>
    <row r="209" spans="1:20">
      <c r="A209">
        <v>209</v>
      </c>
      <c r="B209" t="s">
        <v>329</v>
      </c>
      <c r="C209" t="s">
        <v>3</v>
      </c>
      <c r="D209" t="s">
        <v>39</v>
      </c>
      <c r="E209" t="s">
        <v>330</v>
      </c>
      <c r="F209" t="s">
        <v>331</v>
      </c>
      <c r="G209" s="3">
        <v>4.3</v>
      </c>
      <c r="H209">
        <v>4040</v>
      </c>
      <c r="I209">
        <v>8337</v>
      </c>
      <c r="J209">
        <v>1.3</v>
      </c>
      <c r="K209">
        <v>9186</v>
      </c>
      <c r="L209" s="2">
        <v>928000</v>
      </c>
      <c r="M209" s="2">
        <v>19100000</v>
      </c>
      <c r="N209">
        <v>53</v>
      </c>
      <c r="O209">
        <v>5.5</v>
      </c>
      <c r="P209" t="s">
        <v>18</v>
      </c>
      <c r="Q209" t="s">
        <v>16</v>
      </c>
      <c r="R209" s="2">
        <f>Table4[[#This Row],[total_followers]]/(Table4[[#This Row],[total_time_streamed]] / 60)</f>
        <v>6061.3977792292626</v>
      </c>
      <c r="S209" t="str">
        <f>IF(Table4[[#This Row],[avg_games_per_stream]] &gt; 2, "Variety", "Focused")</f>
        <v>Focused</v>
      </c>
      <c r="T209" s="4">
        <f>Table4[[#This Row],[avg_viewers_per_stream]] / Table4[[#This Row],[total_followers]]</f>
        <v>8.9838362068965522E-3</v>
      </c>
    </row>
    <row r="210" spans="1:20">
      <c r="A210">
        <v>210</v>
      </c>
      <c r="B210" t="s">
        <v>332</v>
      </c>
      <c r="C210" t="s">
        <v>4</v>
      </c>
      <c r="D210" t="s">
        <v>39</v>
      </c>
      <c r="E210" t="s">
        <v>66</v>
      </c>
      <c r="F210" t="s">
        <v>40</v>
      </c>
      <c r="G210" s="3">
        <v>3.2</v>
      </c>
      <c r="H210">
        <v>4004</v>
      </c>
      <c r="I210">
        <v>29395</v>
      </c>
      <c r="J210">
        <v>1.4</v>
      </c>
      <c r="K210">
        <v>128</v>
      </c>
      <c r="L210" s="2">
        <v>1500000</v>
      </c>
      <c r="M210" s="2">
        <v>11000000</v>
      </c>
      <c r="N210">
        <v>95</v>
      </c>
      <c r="O210">
        <v>1.4</v>
      </c>
      <c r="P210" t="s">
        <v>20</v>
      </c>
      <c r="Q210" t="s">
        <v>14</v>
      </c>
      <c r="R210" s="2">
        <f>Table4[[#This Row],[total_followers]]/(Table4[[#This Row],[total_time_streamed]] / 60)</f>
        <v>703125</v>
      </c>
      <c r="S210" t="str">
        <f>IF(Table4[[#This Row],[avg_games_per_stream]] &gt; 2, "Variety", "Focused")</f>
        <v>Focused</v>
      </c>
      <c r="T210" s="4">
        <f>Table4[[#This Row],[avg_viewers_per_stream]] / Table4[[#This Row],[total_followers]]</f>
        <v>1.9596666666666665E-2</v>
      </c>
    </row>
    <row r="211" spans="1:20">
      <c r="A211">
        <v>211</v>
      </c>
      <c r="B211" t="s">
        <v>333</v>
      </c>
      <c r="C211" t="s">
        <v>3</v>
      </c>
      <c r="D211" t="s">
        <v>58</v>
      </c>
      <c r="E211" t="s">
        <v>74</v>
      </c>
      <c r="F211" t="s">
        <v>334</v>
      </c>
      <c r="G211" s="3">
        <v>7.3</v>
      </c>
      <c r="H211">
        <v>6490</v>
      </c>
      <c r="I211">
        <v>14956</v>
      </c>
      <c r="J211">
        <v>1.3</v>
      </c>
      <c r="K211">
        <v>1329</v>
      </c>
      <c r="L211" s="2">
        <v>1240000</v>
      </c>
      <c r="M211" s="2">
        <v>28600000</v>
      </c>
      <c r="N211">
        <v>71</v>
      </c>
      <c r="O211">
        <v>6.3</v>
      </c>
      <c r="P211" t="s">
        <v>18</v>
      </c>
      <c r="Q211" t="s">
        <v>14</v>
      </c>
      <c r="R211" s="2">
        <f>Table4[[#This Row],[total_followers]]/(Table4[[#This Row],[total_time_streamed]] / 60)</f>
        <v>55981.941309255082</v>
      </c>
      <c r="S211" t="str">
        <f>IF(Table4[[#This Row],[avg_games_per_stream]] &gt; 2, "Variety", "Focused")</f>
        <v>Focused</v>
      </c>
      <c r="T211" s="4">
        <f>Table4[[#This Row],[avg_viewers_per_stream]] / Table4[[#This Row],[total_followers]]</f>
        <v>1.2061290322580645E-2</v>
      </c>
    </row>
    <row r="212" spans="1:20">
      <c r="A212">
        <v>212</v>
      </c>
      <c r="B212" t="s">
        <v>335</v>
      </c>
      <c r="C212" t="s">
        <v>63</v>
      </c>
      <c r="D212" t="s">
        <v>39</v>
      </c>
      <c r="E212" t="s">
        <v>40</v>
      </c>
      <c r="F212" t="s">
        <v>56</v>
      </c>
      <c r="G212" s="3">
        <v>3.6</v>
      </c>
      <c r="H212">
        <v>5100</v>
      </c>
      <c r="I212">
        <v>9121</v>
      </c>
      <c r="J212">
        <v>1.5</v>
      </c>
      <c r="K212">
        <v>3198</v>
      </c>
      <c r="L212" s="2">
        <v>423000</v>
      </c>
      <c r="M212" s="2">
        <v>7560000</v>
      </c>
      <c r="N212">
        <v>99</v>
      </c>
      <c r="O212">
        <v>2.7</v>
      </c>
      <c r="P212" t="s">
        <v>20</v>
      </c>
      <c r="Q212" t="s">
        <v>16</v>
      </c>
      <c r="R212" s="2">
        <f>Table4[[#This Row],[total_followers]]/(Table4[[#This Row],[total_time_streamed]] / 60)</f>
        <v>7936.2101313320827</v>
      </c>
      <c r="S212" t="str">
        <f>IF(Table4[[#This Row],[avg_games_per_stream]] &gt; 2, "Variety", "Focused")</f>
        <v>Focused</v>
      </c>
      <c r="T212" s="4">
        <f>Table4[[#This Row],[avg_viewers_per_stream]] / Table4[[#This Row],[total_followers]]</f>
        <v>2.1562647754137115E-2</v>
      </c>
    </row>
    <row r="213" spans="1:20">
      <c r="A213">
        <v>213</v>
      </c>
      <c r="B213" t="s">
        <v>336</v>
      </c>
      <c r="C213" t="s">
        <v>3</v>
      </c>
      <c r="D213" t="s">
        <v>39</v>
      </c>
      <c r="E213" t="s">
        <v>40</v>
      </c>
      <c r="F213" t="s">
        <v>150</v>
      </c>
      <c r="G213" s="3">
        <v>7.6</v>
      </c>
      <c r="H213">
        <v>4790</v>
      </c>
      <c r="I213">
        <v>28223</v>
      </c>
      <c r="J213">
        <v>1.6</v>
      </c>
      <c r="K213">
        <v>16123</v>
      </c>
      <c r="L213" s="2">
        <v>1010000</v>
      </c>
      <c r="M213" s="2">
        <v>60500000</v>
      </c>
      <c r="N213">
        <v>311</v>
      </c>
      <c r="O213">
        <v>5.9</v>
      </c>
      <c r="P213" t="s">
        <v>14</v>
      </c>
      <c r="Q213" t="s">
        <v>14</v>
      </c>
      <c r="R213" s="2">
        <f>Table4[[#This Row],[total_followers]]/(Table4[[#This Row],[total_time_streamed]] / 60)</f>
        <v>3758.605718538734</v>
      </c>
      <c r="S213" t="str">
        <f>IF(Table4[[#This Row],[avg_games_per_stream]] &gt; 2, "Variety", "Focused")</f>
        <v>Focused</v>
      </c>
      <c r="T213" s="4">
        <f>Table4[[#This Row],[avg_viewers_per_stream]] / Table4[[#This Row],[total_followers]]</f>
        <v>2.7943564356435642E-2</v>
      </c>
    </row>
    <row r="214" spans="1:20">
      <c r="A214">
        <v>214</v>
      </c>
      <c r="B214" t="s">
        <v>337</v>
      </c>
      <c r="C214" t="s">
        <v>3</v>
      </c>
      <c r="D214" t="s">
        <v>58</v>
      </c>
      <c r="E214" t="s">
        <v>64</v>
      </c>
      <c r="F214" t="s">
        <v>12</v>
      </c>
      <c r="G214" s="3">
        <v>6.5</v>
      </c>
      <c r="H214">
        <v>1097</v>
      </c>
      <c r="I214">
        <v>16835</v>
      </c>
      <c r="J214">
        <v>1</v>
      </c>
      <c r="K214">
        <v>1411</v>
      </c>
      <c r="L214" s="2">
        <v>193000</v>
      </c>
      <c r="M214" s="2">
        <v>2980000</v>
      </c>
      <c r="N214">
        <v>2</v>
      </c>
      <c r="O214">
        <v>0.7</v>
      </c>
      <c r="P214" t="s">
        <v>16</v>
      </c>
      <c r="Q214" t="s">
        <v>15</v>
      </c>
      <c r="R214" s="2">
        <f>Table4[[#This Row],[total_followers]]/(Table4[[#This Row],[total_time_streamed]] / 60)</f>
        <v>8206.945428773919</v>
      </c>
      <c r="S214" t="str">
        <f>IF(Table4[[#This Row],[avg_games_per_stream]] &gt; 2, "Variety", "Focused")</f>
        <v>Focused</v>
      </c>
      <c r="T214" s="4">
        <f>Table4[[#This Row],[avg_viewers_per_stream]] / Table4[[#This Row],[total_followers]]</f>
        <v>8.72279792746114E-2</v>
      </c>
    </row>
    <row r="215" spans="1:20">
      <c r="A215">
        <v>215</v>
      </c>
      <c r="B215" t="s">
        <v>338</v>
      </c>
      <c r="C215" t="s">
        <v>3</v>
      </c>
      <c r="D215" t="s">
        <v>39</v>
      </c>
      <c r="E215" t="s">
        <v>66</v>
      </c>
      <c r="F215" t="s">
        <v>109</v>
      </c>
      <c r="G215" s="3">
        <v>8</v>
      </c>
      <c r="H215">
        <v>2150</v>
      </c>
      <c r="I215">
        <v>549</v>
      </c>
      <c r="J215">
        <v>1.5</v>
      </c>
      <c r="K215">
        <v>1287</v>
      </c>
      <c r="L215" s="2">
        <v>382000</v>
      </c>
      <c r="M215" s="2">
        <v>9680000</v>
      </c>
      <c r="N215">
        <v>133</v>
      </c>
      <c r="O215">
        <v>4.7</v>
      </c>
      <c r="P215" t="s">
        <v>17</v>
      </c>
      <c r="Q215" t="s">
        <v>14</v>
      </c>
      <c r="R215" s="2">
        <f>Table4[[#This Row],[total_followers]]/(Table4[[#This Row],[total_time_streamed]] / 60)</f>
        <v>17808.857808857811</v>
      </c>
      <c r="S215" t="str">
        <f>IF(Table4[[#This Row],[avg_games_per_stream]] &gt; 2, "Variety", "Focused")</f>
        <v>Focused</v>
      </c>
      <c r="T215" s="4">
        <f>Table4[[#This Row],[avg_viewers_per_stream]] / Table4[[#This Row],[total_followers]]</f>
        <v>1.4371727748691099E-3</v>
      </c>
    </row>
    <row r="216" spans="1:20">
      <c r="A216">
        <v>216</v>
      </c>
      <c r="B216" t="s">
        <v>339</v>
      </c>
      <c r="C216" t="s">
        <v>7</v>
      </c>
      <c r="D216" t="s">
        <v>39</v>
      </c>
      <c r="E216" t="s">
        <v>40</v>
      </c>
      <c r="F216" t="s">
        <v>74</v>
      </c>
      <c r="G216" s="3">
        <v>4.5</v>
      </c>
      <c r="H216">
        <v>7156</v>
      </c>
      <c r="I216">
        <v>15968</v>
      </c>
      <c r="J216">
        <v>2</v>
      </c>
      <c r="K216">
        <v>6849</v>
      </c>
      <c r="L216" s="2">
        <v>11900000</v>
      </c>
      <c r="M216" s="2">
        <v>263000000</v>
      </c>
      <c r="N216">
        <v>114</v>
      </c>
      <c r="O216">
        <v>6.3</v>
      </c>
      <c r="P216" t="s">
        <v>20</v>
      </c>
      <c r="Q216" t="s">
        <v>14</v>
      </c>
      <c r="R216" s="2">
        <f>Table4[[#This Row],[total_followers]]/(Table4[[#This Row],[total_time_streamed]] / 60)</f>
        <v>104248.79544459045</v>
      </c>
      <c r="S216" t="str">
        <f>IF(Table4[[#This Row],[avg_games_per_stream]] &gt; 2, "Variety", "Focused")</f>
        <v>Focused</v>
      </c>
      <c r="T216" s="4">
        <f>Table4[[#This Row],[avg_viewers_per_stream]] / Table4[[#This Row],[total_followers]]</f>
        <v>1.3418487394957982E-3</v>
      </c>
    </row>
    <row r="217" spans="1:20">
      <c r="A217">
        <v>217</v>
      </c>
      <c r="B217" t="s">
        <v>340</v>
      </c>
      <c r="C217" t="s">
        <v>3</v>
      </c>
      <c r="D217" t="s">
        <v>39</v>
      </c>
      <c r="E217" t="s">
        <v>145</v>
      </c>
      <c r="F217" t="s">
        <v>193</v>
      </c>
      <c r="G217" s="3">
        <v>3.9</v>
      </c>
      <c r="H217">
        <v>3370</v>
      </c>
      <c r="I217">
        <v>2940</v>
      </c>
      <c r="J217">
        <v>1.1000000000000001</v>
      </c>
      <c r="K217">
        <v>4318</v>
      </c>
      <c r="L217" s="2">
        <v>391000</v>
      </c>
      <c r="M217" s="2">
        <v>341000</v>
      </c>
      <c r="N217">
        <v>31</v>
      </c>
      <c r="O217">
        <v>3.6</v>
      </c>
      <c r="P217" t="s">
        <v>16</v>
      </c>
      <c r="Q217" t="s">
        <v>15</v>
      </c>
      <c r="R217" s="2">
        <f>Table4[[#This Row],[total_followers]]/(Table4[[#This Row],[total_time_streamed]] / 60)</f>
        <v>5433.070866141732</v>
      </c>
      <c r="S217" t="str">
        <f>IF(Table4[[#This Row],[avg_games_per_stream]] &gt; 2, "Variety", "Focused")</f>
        <v>Focused</v>
      </c>
      <c r="T217" s="4">
        <f>Table4[[#This Row],[avg_viewers_per_stream]] / Table4[[#This Row],[total_followers]]</f>
        <v>7.5191815856777491E-3</v>
      </c>
    </row>
    <row r="218" spans="1:20">
      <c r="A218">
        <v>218</v>
      </c>
      <c r="B218" t="s">
        <v>341</v>
      </c>
      <c r="C218" t="s">
        <v>61</v>
      </c>
      <c r="D218" t="s">
        <v>39</v>
      </c>
      <c r="E218" t="s">
        <v>66</v>
      </c>
      <c r="F218" t="s">
        <v>40</v>
      </c>
      <c r="G218" s="3">
        <v>4.8</v>
      </c>
      <c r="H218">
        <v>7410</v>
      </c>
      <c r="I218">
        <v>6936</v>
      </c>
      <c r="J218">
        <v>2.1</v>
      </c>
      <c r="K218">
        <v>484</v>
      </c>
      <c r="L218" s="2">
        <v>638000</v>
      </c>
      <c r="M218" s="2">
        <v>6180000</v>
      </c>
      <c r="N218">
        <v>167</v>
      </c>
      <c r="O218">
        <v>2.8</v>
      </c>
      <c r="P218" t="s">
        <v>14</v>
      </c>
      <c r="Q218" t="s">
        <v>20</v>
      </c>
      <c r="R218" s="2">
        <f>Table4[[#This Row],[total_followers]]/(Table4[[#This Row],[total_time_streamed]] / 60)</f>
        <v>79090.909090909088</v>
      </c>
      <c r="S218" t="str">
        <f>IF(Table4[[#This Row],[avg_games_per_stream]] &gt; 2, "Variety", "Focused")</f>
        <v>Variety</v>
      </c>
      <c r="T218" s="4">
        <f>Table4[[#This Row],[avg_viewers_per_stream]] / Table4[[#This Row],[total_followers]]</f>
        <v>1.0871473354231975E-2</v>
      </c>
    </row>
    <row r="219" spans="1:20">
      <c r="A219">
        <v>219</v>
      </c>
      <c r="B219" t="s">
        <v>342</v>
      </c>
      <c r="C219" t="s">
        <v>7</v>
      </c>
      <c r="D219" t="s">
        <v>39</v>
      </c>
      <c r="E219" t="s">
        <v>46</v>
      </c>
      <c r="F219" t="s">
        <v>40</v>
      </c>
      <c r="G219" s="3">
        <v>2.6</v>
      </c>
      <c r="H219">
        <v>1859</v>
      </c>
      <c r="I219">
        <v>12463</v>
      </c>
      <c r="J219">
        <v>1</v>
      </c>
      <c r="K219">
        <v>8000</v>
      </c>
      <c r="L219" s="2">
        <v>456000</v>
      </c>
      <c r="M219" s="2">
        <v>3060000</v>
      </c>
      <c r="N219">
        <v>4</v>
      </c>
      <c r="O219">
        <v>1</v>
      </c>
      <c r="P219" t="s">
        <v>17</v>
      </c>
      <c r="Q219" t="s">
        <v>16</v>
      </c>
      <c r="R219" s="2">
        <f>Table4[[#This Row],[total_followers]]/(Table4[[#This Row],[total_time_streamed]] / 60)</f>
        <v>3419.9999999999995</v>
      </c>
      <c r="S219" t="str">
        <f>IF(Table4[[#This Row],[avg_games_per_stream]] &gt; 2, "Variety", "Focused")</f>
        <v>Focused</v>
      </c>
      <c r="T219" s="4">
        <f>Table4[[#This Row],[avg_viewers_per_stream]] / Table4[[#This Row],[total_followers]]</f>
        <v>2.7331140350877192E-2</v>
      </c>
    </row>
    <row r="220" spans="1:20">
      <c r="A220">
        <v>220</v>
      </c>
      <c r="B220" t="s">
        <v>343</v>
      </c>
      <c r="C220" t="s">
        <v>3</v>
      </c>
      <c r="D220" t="s">
        <v>39</v>
      </c>
      <c r="E220" t="s">
        <v>40</v>
      </c>
      <c r="F220" t="s">
        <v>344</v>
      </c>
      <c r="G220" s="3">
        <v>10</v>
      </c>
      <c r="H220">
        <v>4210</v>
      </c>
      <c r="I220">
        <v>23323</v>
      </c>
      <c r="J220">
        <v>2</v>
      </c>
      <c r="K220">
        <v>15738</v>
      </c>
      <c r="L220" s="2">
        <v>646000</v>
      </c>
      <c r="M220" s="2">
        <v>34300000</v>
      </c>
      <c r="N220">
        <v>80</v>
      </c>
      <c r="O220">
        <v>3.8</v>
      </c>
      <c r="P220" t="s">
        <v>15</v>
      </c>
      <c r="Q220" t="s">
        <v>14</v>
      </c>
      <c r="R220" s="2">
        <f>Table4[[#This Row],[total_followers]]/(Table4[[#This Row],[total_time_streamed]] / 60)</f>
        <v>2462.8288219595884</v>
      </c>
      <c r="S220" t="str">
        <f>IF(Table4[[#This Row],[avg_games_per_stream]] &gt; 2, "Variety", "Focused")</f>
        <v>Focused</v>
      </c>
      <c r="T220" s="4">
        <f>Table4[[#This Row],[avg_viewers_per_stream]] / Table4[[#This Row],[total_followers]]</f>
        <v>3.610371517027864E-2</v>
      </c>
    </row>
    <row r="221" spans="1:20">
      <c r="A221">
        <v>221</v>
      </c>
      <c r="B221" t="s">
        <v>345</v>
      </c>
      <c r="C221" t="s">
        <v>63</v>
      </c>
      <c r="D221" t="s">
        <v>39</v>
      </c>
      <c r="E221" t="s">
        <v>40</v>
      </c>
      <c r="F221" t="s">
        <v>56</v>
      </c>
      <c r="G221" s="3">
        <v>3.9</v>
      </c>
      <c r="H221">
        <v>165</v>
      </c>
      <c r="I221">
        <v>14754</v>
      </c>
      <c r="J221">
        <v>2.1</v>
      </c>
      <c r="K221">
        <v>2092</v>
      </c>
      <c r="L221" s="2">
        <v>890000</v>
      </c>
      <c r="M221" s="2">
        <v>7950000</v>
      </c>
      <c r="N221">
        <v>164</v>
      </c>
      <c r="O221">
        <v>2.2000000000000002</v>
      </c>
      <c r="P221" t="s">
        <v>15</v>
      </c>
      <c r="Q221" t="s">
        <v>14</v>
      </c>
      <c r="R221" s="2">
        <f>Table4[[#This Row],[total_followers]]/(Table4[[#This Row],[total_time_streamed]] / 60)</f>
        <v>25525.812619502867</v>
      </c>
      <c r="S221" t="str">
        <f>IF(Table4[[#This Row],[avg_games_per_stream]] &gt; 2, "Variety", "Focused")</f>
        <v>Variety</v>
      </c>
      <c r="T221" s="4">
        <f>Table4[[#This Row],[avg_viewers_per_stream]] / Table4[[#This Row],[total_followers]]</f>
        <v>1.657752808988764E-2</v>
      </c>
    </row>
    <row r="222" spans="1:20">
      <c r="A222">
        <v>222</v>
      </c>
      <c r="B222" t="s">
        <v>346</v>
      </c>
      <c r="C222" t="s">
        <v>3</v>
      </c>
      <c r="D222" t="s">
        <v>39</v>
      </c>
      <c r="E222" t="s">
        <v>40</v>
      </c>
      <c r="F222" t="s">
        <v>347</v>
      </c>
      <c r="G222" s="3">
        <v>5.0999999999999996</v>
      </c>
      <c r="H222">
        <v>3070</v>
      </c>
      <c r="I222">
        <v>4295</v>
      </c>
      <c r="J222">
        <v>2.2000000000000002</v>
      </c>
      <c r="K222">
        <v>937</v>
      </c>
      <c r="L222" s="2">
        <v>502000</v>
      </c>
      <c r="M222" s="2">
        <v>7160000</v>
      </c>
      <c r="N222">
        <v>636</v>
      </c>
      <c r="O222">
        <v>5.3</v>
      </c>
      <c r="P222" t="s">
        <v>17</v>
      </c>
      <c r="Q222" t="s">
        <v>14</v>
      </c>
      <c r="R222" s="2">
        <f>Table4[[#This Row],[total_followers]]/(Table4[[#This Row],[total_time_streamed]] / 60)</f>
        <v>32145.144076840981</v>
      </c>
      <c r="S222" t="str">
        <f>IF(Table4[[#This Row],[avg_games_per_stream]] &gt; 2, "Variety", "Focused")</f>
        <v>Variety</v>
      </c>
      <c r="T222" s="4">
        <f>Table4[[#This Row],[avg_viewers_per_stream]] / Table4[[#This Row],[total_followers]]</f>
        <v>8.5557768924302783E-3</v>
      </c>
    </row>
    <row r="223" spans="1:20">
      <c r="A223">
        <v>223</v>
      </c>
      <c r="B223" t="s">
        <v>348</v>
      </c>
      <c r="C223" t="s">
        <v>63</v>
      </c>
      <c r="D223" t="s">
        <v>39</v>
      </c>
      <c r="E223" t="s">
        <v>64</v>
      </c>
      <c r="F223" t="s">
        <v>40</v>
      </c>
      <c r="G223" s="3">
        <v>4.5999999999999996</v>
      </c>
      <c r="H223">
        <v>1800</v>
      </c>
      <c r="I223">
        <v>3245</v>
      </c>
      <c r="J223">
        <v>1</v>
      </c>
      <c r="K223">
        <v>6613</v>
      </c>
      <c r="L223" s="2">
        <v>281000</v>
      </c>
      <c r="M223" s="2">
        <v>5070000</v>
      </c>
      <c r="N223">
        <v>9</v>
      </c>
      <c r="O223">
        <v>4.9000000000000004</v>
      </c>
      <c r="P223" t="s">
        <v>16</v>
      </c>
      <c r="Q223" t="s">
        <v>14</v>
      </c>
      <c r="R223" s="2">
        <f>Table4[[#This Row],[total_followers]]/(Table4[[#This Row],[total_time_streamed]] / 60)</f>
        <v>2549.523665507334</v>
      </c>
      <c r="S223" t="str">
        <f>IF(Table4[[#This Row],[avg_games_per_stream]] &gt; 2, "Variety", "Focused")</f>
        <v>Focused</v>
      </c>
      <c r="T223" s="4">
        <f>Table4[[#This Row],[avg_viewers_per_stream]] / Table4[[#This Row],[total_followers]]</f>
        <v>1.1548042704626334E-2</v>
      </c>
    </row>
    <row r="224" spans="1:20">
      <c r="A224">
        <v>224</v>
      </c>
      <c r="B224" t="s">
        <v>349</v>
      </c>
      <c r="C224" t="s">
        <v>3</v>
      </c>
      <c r="D224" t="s">
        <v>39</v>
      </c>
      <c r="E224" t="s">
        <v>54</v>
      </c>
      <c r="F224" t="s">
        <v>40</v>
      </c>
      <c r="G224" s="3">
        <v>5.5</v>
      </c>
      <c r="H224">
        <v>4142</v>
      </c>
      <c r="I224">
        <v>45278</v>
      </c>
      <c r="J224">
        <v>1.2</v>
      </c>
      <c r="K224">
        <v>4066</v>
      </c>
      <c r="L224" s="2">
        <v>2850000</v>
      </c>
      <c r="M224" s="2">
        <v>31100000</v>
      </c>
      <c r="N224">
        <v>73</v>
      </c>
      <c r="O224">
        <v>3.6</v>
      </c>
      <c r="P224" t="s">
        <v>18</v>
      </c>
      <c r="Q224" t="s">
        <v>14</v>
      </c>
      <c r="R224" s="2">
        <f>Table4[[#This Row],[total_followers]]/(Table4[[#This Row],[total_time_streamed]] / 60)</f>
        <v>42056.074766355137</v>
      </c>
      <c r="S224" t="str">
        <f>IF(Table4[[#This Row],[avg_games_per_stream]] &gt; 2, "Variety", "Focused")</f>
        <v>Focused</v>
      </c>
      <c r="T224" s="4">
        <f>Table4[[#This Row],[avg_viewers_per_stream]] / Table4[[#This Row],[total_followers]]</f>
        <v>1.5887017543859648E-2</v>
      </c>
    </row>
    <row r="225" spans="1:20">
      <c r="A225">
        <v>225</v>
      </c>
      <c r="B225" t="s">
        <v>350</v>
      </c>
      <c r="C225" t="s">
        <v>3</v>
      </c>
      <c r="D225" t="s">
        <v>39</v>
      </c>
      <c r="E225" t="s">
        <v>40</v>
      </c>
      <c r="F225" t="s">
        <v>351</v>
      </c>
      <c r="G225" s="3">
        <v>5.2</v>
      </c>
      <c r="H225">
        <v>4290</v>
      </c>
      <c r="I225">
        <v>5590</v>
      </c>
      <c r="J225">
        <v>1.7</v>
      </c>
      <c r="K225">
        <v>5216</v>
      </c>
      <c r="L225" s="2">
        <v>365000</v>
      </c>
      <c r="M225" s="2">
        <v>476000</v>
      </c>
      <c r="N225">
        <v>204</v>
      </c>
      <c r="O225">
        <v>4.8</v>
      </c>
      <c r="P225" t="s">
        <v>18</v>
      </c>
      <c r="Q225" t="s">
        <v>20</v>
      </c>
      <c r="R225" s="2">
        <f>Table4[[#This Row],[total_followers]]/(Table4[[#This Row],[total_time_streamed]] / 60)</f>
        <v>4198.61963190184</v>
      </c>
      <c r="S225" t="str">
        <f>IF(Table4[[#This Row],[avg_games_per_stream]] &gt; 2, "Variety", "Focused")</f>
        <v>Focused</v>
      </c>
      <c r="T225" s="4">
        <f>Table4[[#This Row],[avg_viewers_per_stream]] / Table4[[#This Row],[total_followers]]</f>
        <v>1.5315068493150685E-2</v>
      </c>
    </row>
    <row r="226" spans="1:20">
      <c r="A226">
        <v>226</v>
      </c>
      <c r="B226" t="s">
        <v>352</v>
      </c>
      <c r="C226" t="s">
        <v>3</v>
      </c>
      <c r="D226" t="s">
        <v>58</v>
      </c>
      <c r="E226" t="s">
        <v>353</v>
      </c>
      <c r="F226" t="s">
        <v>354</v>
      </c>
      <c r="G226" s="3">
        <v>2.8</v>
      </c>
      <c r="H226">
        <v>1533</v>
      </c>
      <c r="I226">
        <v>23674</v>
      </c>
      <c r="J226">
        <v>1</v>
      </c>
      <c r="K226">
        <v>3818</v>
      </c>
      <c r="L226" s="2">
        <v>2080000</v>
      </c>
      <c r="M226" s="2">
        <v>32700000</v>
      </c>
      <c r="N226">
        <v>53</v>
      </c>
      <c r="O226">
        <v>3.4</v>
      </c>
      <c r="P226" t="s">
        <v>17</v>
      </c>
      <c r="Q226" t="s">
        <v>14</v>
      </c>
      <c r="R226" s="2">
        <f>Table4[[#This Row],[total_followers]]/(Table4[[#This Row],[total_time_streamed]] / 60)</f>
        <v>32687.270822420116</v>
      </c>
      <c r="S226" t="str">
        <f>IF(Table4[[#This Row],[avg_games_per_stream]] &gt; 2, "Variety", "Focused")</f>
        <v>Focused</v>
      </c>
      <c r="T226" s="4">
        <f>Table4[[#This Row],[avg_viewers_per_stream]] / Table4[[#This Row],[total_followers]]</f>
        <v>1.1381730769230769E-2</v>
      </c>
    </row>
    <row r="227" spans="1:20">
      <c r="A227">
        <v>227</v>
      </c>
      <c r="B227" t="s">
        <v>355</v>
      </c>
      <c r="C227" t="s">
        <v>5</v>
      </c>
      <c r="D227" t="s">
        <v>39</v>
      </c>
      <c r="E227" t="s">
        <v>54</v>
      </c>
      <c r="F227" t="s">
        <v>96</v>
      </c>
      <c r="G227" s="3">
        <v>7</v>
      </c>
      <c r="H227">
        <v>4060</v>
      </c>
      <c r="I227">
        <v>1844</v>
      </c>
      <c r="J227">
        <v>1.4</v>
      </c>
      <c r="K227">
        <v>7789</v>
      </c>
      <c r="L227" s="2">
        <v>481000</v>
      </c>
      <c r="M227" s="2">
        <v>2190000</v>
      </c>
      <c r="N227">
        <v>153</v>
      </c>
      <c r="O227">
        <v>5.9</v>
      </c>
      <c r="P227" t="s">
        <v>20</v>
      </c>
      <c r="Q227" t="s">
        <v>14</v>
      </c>
      <c r="R227" s="2">
        <f>Table4[[#This Row],[total_followers]]/(Table4[[#This Row],[total_time_streamed]] / 60)</f>
        <v>3705.2253177558096</v>
      </c>
      <c r="S227" t="str">
        <f>IF(Table4[[#This Row],[avg_games_per_stream]] &gt; 2, "Variety", "Focused")</f>
        <v>Focused</v>
      </c>
      <c r="T227" s="4">
        <f>Table4[[#This Row],[avg_viewers_per_stream]] / Table4[[#This Row],[total_followers]]</f>
        <v>3.8336798336798335E-3</v>
      </c>
    </row>
    <row r="228" spans="1:20">
      <c r="A228">
        <v>228</v>
      </c>
      <c r="B228" t="s">
        <v>356</v>
      </c>
      <c r="C228" t="s">
        <v>2</v>
      </c>
      <c r="D228" t="s">
        <v>39</v>
      </c>
      <c r="E228" t="s">
        <v>46</v>
      </c>
      <c r="F228" t="s">
        <v>40</v>
      </c>
      <c r="G228" s="3">
        <v>6.9</v>
      </c>
      <c r="H228">
        <v>1220</v>
      </c>
      <c r="I228">
        <v>12933</v>
      </c>
      <c r="J228">
        <v>1.8</v>
      </c>
      <c r="K228">
        <v>7762</v>
      </c>
      <c r="L228" s="2">
        <v>152000</v>
      </c>
      <c r="M228" s="2">
        <v>16100000</v>
      </c>
      <c r="N228">
        <v>225</v>
      </c>
      <c r="O228">
        <v>3.1</v>
      </c>
      <c r="P228" t="s">
        <v>15</v>
      </c>
      <c r="Q228" t="s">
        <v>14</v>
      </c>
      <c r="R228" s="2">
        <f>Table4[[#This Row],[total_followers]]/(Table4[[#This Row],[total_time_streamed]] / 60)</f>
        <v>1174.9549085287297</v>
      </c>
      <c r="S228" t="str">
        <f>IF(Table4[[#This Row],[avg_games_per_stream]] &gt; 2, "Variety", "Focused")</f>
        <v>Focused</v>
      </c>
      <c r="T228" s="4">
        <f>Table4[[#This Row],[avg_viewers_per_stream]] / Table4[[#This Row],[total_followers]]</f>
        <v>8.5085526315789473E-2</v>
      </c>
    </row>
    <row r="229" spans="1:20">
      <c r="A229">
        <v>229</v>
      </c>
      <c r="B229" t="s">
        <v>357</v>
      </c>
      <c r="C229" t="s">
        <v>63</v>
      </c>
      <c r="D229" t="s">
        <v>39</v>
      </c>
      <c r="E229" t="s">
        <v>64</v>
      </c>
      <c r="F229" t="s">
        <v>12</v>
      </c>
      <c r="G229" s="3">
        <v>10</v>
      </c>
      <c r="H229">
        <v>1175</v>
      </c>
      <c r="I229">
        <v>0</v>
      </c>
      <c r="J229">
        <v>1</v>
      </c>
      <c r="K229">
        <v>6200</v>
      </c>
      <c r="L229" s="2">
        <v>78700</v>
      </c>
      <c r="M229" s="2">
        <v>0</v>
      </c>
      <c r="N229">
        <v>2</v>
      </c>
      <c r="O229">
        <v>1.1000000000000001</v>
      </c>
      <c r="P229" t="s">
        <v>16</v>
      </c>
      <c r="Q229" t="s">
        <v>16</v>
      </c>
      <c r="R229" s="2">
        <f>Table4[[#This Row],[total_followers]]/(Table4[[#This Row],[total_time_streamed]] / 60)</f>
        <v>761.61290322580646</v>
      </c>
      <c r="S229" t="str">
        <f>IF(Table4[[#This Row],[avg_games_per_stream]] &gt; 2, "Variety", "Focused")</f>
        <v>Focused</v>
      </c>
      <c r="T229" s="4">
        <f>Table4[[#This Row],[avg_viewers_per_stream]] / Table4[[#This Row],[total_followers]]</f>
        <v>0</v>
      </c>
    </row>
    <row r="230" spans="1:20">
      <c r="A230">
        <v>230</v>
      </c>
      <c r="B230" t="s">
        <v>358</v>
      </c>
      <c r="C230" t="s">
        <v>7</v>
      </c>
      <c r="D230" t="s">
        <v>39</v>
      </c>
      <c r="E230" t="s">
        <v>107</v>
      </c>
      <c r="F230" t="s">
        <v>40</v>
      </c>
      <c r="G230" s="3">
        <v>3.2</v>
      </c>
      <c r="H230">
        <v>3410</v>
      </c>
      <c r="I230">
        <v>3342</v>
      </c>
      <c r="J230">
        <v>1.3</v>
      </c>
      <c r="K230">
        <v>2349</v>
      </c>
      <c r="L230" s="2">
        <v>271000</v>
      </c>
      <c r="M230" s="2">
        <v>2660000</v>
      </c>
      <c r="N230">
        <v>37</v>
      </c>
      <c r="O230">
        <v>2.4</v>
      </c>
      <c r="P230" t="s">
        <v>19</v>
      </c>
      <c r="Q230" t="s">
        <v>14</v>
      </c>
      <c r="R230" s="2">
        <f>Table4[[#This Row],[total_followers]]/(Table4[[#This Row],[total_time_streamed]] / 60)</f>
        <v>6922.0945083014049</v>
      </c>
      <c r="S230" t="str">
        <f>IF(Table4[[#This Row],[avg_games_per_stream]] &gt; 2, "Variety", "Focused")</f>
        <v>Focused</v>
      </c>
      <c r="T230" s="4">
        <f>Table4[[#This Row],[avg_viewers_per_stream]] / Table4[[#This Row],[total_followers]]</f>
        <v>1.2332103321033211E-2</v>
      </c>
    </row>
    <row r="231" spans="1:20">
      <c r="A231">
        <v>231</v>
      </c>
      <c r="B231" t="s">
        <v>359</v>
      </c>
      <c r="C231" t="s">
        <v>3</v>
      </c>
      <c r="D231" t="s">
        <v>58</v>
      </c>
      <c r="E231" t="s">
        <v>64</v>
      </c>
      <c r="F231" t="s">
        <v>12</v>
      </c>
      <c r="G231" s="3">
        <v>8.3000000000000007</v>
      </c>
      <c r="H231">
        <v>1321</v>
      </c>
      <c r="I231">
        <v>27968</v>
      </c>
      <c r="J231">
        <v>1</v>
      </c>
      <c r="K231">
        <v>121</v>
      </c>
      <c r="L231" s="2">
        <v>209000</v>
      </c>
      <c r="M231" s="2">
        <v>5080000</v>
      </c>
      <c r="N231">
        <v>2</v>
      </c>
      <c r="O231">
        <v>0.5</v>
      </c>
      <c r="P231" t="s">
        <v>14</v>
      </c>
      <c r="Q231" t="s">
        <v>20</v>
      </c>
      <c r="R231" s="2">
        <f>Table4[[#This Row],[total_followers]]/(Table4[[#This Row],[total_time_streamed]] / 60)</f>
        <v>103636.36363636363</v>
      </c>
      <c r="S231" t="str">
        <f>IF(Table4[[#This Row],[avg_games_per_stream]] &gt; 2, "Variety", "Focused")</f>
        <v>Focused</v>
      </c>
      <c r="T231" s="4">
        <f>Table4[[#This Row],[avg_viewers_per_stream]] / Table4[[#This Row],[total_followers]]</f>
        <v>0.13381818181818181</v>
      </c>
    </row>
    <row r="232" spans="1:20">
      <c r="A232">
        <v>232</v>
      </c>
      <c r="B232" t="s">
        <v>360</v>
      </c>
      <c r="C232" t="s">
        <v>3</v>
      </c>
      <c r="D232" t="s">
        <v>39</v>
      </c>
      <c r="E232" t="s">
        <v>40</v>
      </c>
      <c r="F232" t="s">
        <v>46</v>
      </c>
      <c r="G232" s="3">
        <v>3.8</v>
      </c>
      <c r="H232">
        <v>6735</v>
      </c>
      <c r="I232">
        <v>158446</v>
      </c>
      <c r="J232">
        <v>1.8</v>
      </c>
      <c r="K232">
        <v>6455</v>
      </c>
      <c r="L232" s="2">
        <v>9320000</v>
      </c>
      <c r="M232" s="2">
        <v>220000000</v>
      </c>
      <c r="N232">
        <v>135</v>
      </c>
      <c r="O232">
        <v>4.4000000000000004</v>
      </c>
      <c r="P232" t="s">
        <v>17</v>
      </c>
      <c r="Q232" t="s">
        <v>19</v>
      </c>
      <c r="R232" s="2">
        <f>Table4[[#This Row],[total_followers]]/(Table4[[#This Row],[total_time_streamed]] / 60)</f>
        <v>86630.518977536791</v>
      </c>
      <c r="S232" t="str">
        <f>IF(Table4[[#This Row],[avg_games_per_stream]] &gt; 2, "Variety", "Focused")</f>
        <v>Focused</v>
      </c>
      <c r="T232" s="4">
        <f>Table4[[#This Row],[avg_viewers_per_stream]] / Table4[[#This Row],[total_followers]]</f>
        <v>1.7000643776824035E-2</v>
      </c>
    </row>
    <row r="233" spans="1:20">
      <c r="A233">
        <v>233</v>
      </c>
      <c r="B233" t="s">
        <v>361</v>
      </c>
      <c r="C233" t="s">
        <v>4</v>
      </c>
      <c r="D233" t="s">
        <v>39</v>
      </c>
      <c r="E233" t="s">
        <v>74</v>
      </c>
      <c r="F233" t="s">
        <v>40</v>
      </c>
      <c r="G233" s="3">
        <v>6.8</v>
      </c>
      <c r="H233">
        <v>4710</v>
      </c>
      <c r="I233">
        <v>11348</v>
      </c>
      <c r="J233">
        <v>2.2999999999999998</v>
      </c>
      <c r="K233">
        <v>8754</v>
      </c>
      <c r="L233" s="2">
        <v>643000</v>
      </c>
      <c r="M233" s="2">
        <v>15400000</v>
      </c>
      <c r="N233">
        <v>101</v>
      </c>
      <c r="O233">
        <v>6.6</v>
      </c>
      <c r="P233" t="s">
        <v>14</v>
      </c>
      <c r="Q233" t="s">
        <v>14</v>
      </c>
      <c r="R233" s="2">
        <f>Table4[[#This Row],[total_followers]]/(Table4[[#This Row],[total_time_streamed]] / 60)</f>
        <v>4407.1281699794381</v>
      </c>
      <c r="S233" t="str">
        <f>IF(Table4[[#This Row],[avg_games_per_stream]] &gt; 2, "Variety", "Focused")</f>
        <v>Variety</v>
      </c>
      <c r="T233" s="4">
        <f>Table4[[#This Row],[avg_viewers_per_stream]] / Table4[[#This Row],[total_followers]]</f>
        <v>1.7648522550544322E-2</v>
      </c>
    </row>
    <row r="234" spans="1:20">
      <c r="A234">
        <v>234</v>
      </c>
      <c r="B234" t="s">
        <v>362</v>
      </c>
      <c r="C234" t="s">
        <v>3</v>
      </c>
      <c r="D234" t="s">
        <v>39</v>
      </c>
      <c r="E234" t="s">
        <v>363</v>
      </c>
      <c r="F234" t="s">
        <v>364</v>
      </c>
      <c r="G234" s="3">
        <v>4.3</v>
      </c>
      <c r="H234">
        <v>2130</v>
      </c>
      <c r="I234">
        <v>11536</v>
      </c>
      <c r="J234">
        <v>2</v>
      </c>
      <c r="K234">
        <v>8119</v>
      </c>
      <c r="L234" s="2">
        <v>603000</v>
      </c>
      <c r="M234" s="2">
        <v>41000000</v>
      </c>
      <c r="N234">
        <v>918</v>
      </c>
      <c r="O234">
        <v>4.8</v>
      </c>
      <c r="P234" t="s">
        <v>16</v>
      </c>
      <c r="Q234" t="s">
        <v>16</v>
      </c>
      <c r="R234" s="2">
        <f>Table4[[#This Row],[total_followers]]/(Table4[[#This Row],[total_time_streamed]] / 60)</f>
        <v>4456.2138194358913</v>
      </c>
      <c r="S234" t="str">
        <f>IF(Table4[[#This Row],[avg_games_per_stream]] &gt; 2, "Variety", "Focused")</f>
        <v>Focused</v>
      </c>
      <c r="T234" s="4">
        <f>Table4[[#This Row],[avg_viewers_per_stream]] / Table4[[#This Row],[total_followers]]</f>
        <v>1.9131011608623547E-2</v>
      </c>
    </row>
    <row r="235" spans="1:20">
      <c r="A235">
        <v>235</v>
      </c>
      <c r="B235" t="s">
        <v>365</v>
      </c>
      <c r="C235" t="s">
        <v>63</v>
      </c>
      <c r="D235" t="s">
        <v>39</v>
      </c>
      <c r="E235" t="s">
        <v>40</v>
      </c>
      <c r="F235" t="s">
        <v>56</v>
      </c>
      <c r="G235" s="3">
        <v>3.2</v>
      </c>
      <c r="H235">
        <v>9180</v>
      </c>
      <c r="I235">
        <v>7317</v>
      </c>
      <c r="J235">
        <v>2.1</v>
      </c>
      <c r="K235">
        <v>2417</v>
      </c>
      <c r="L235" s="2">
        <v>665000</v>
      </c>
      <c r="M235" s="2">
        <v>5300000</v>
      </c>
      <c r="N235">
        <v>40</v>
      </c>
      <c r="O235">
        <v>5.3</v>
      </c>
      <c r="P235" t="s">
        <v>14</v>
      </c>
      <c r="Q235" t="s">
        <v>16</v>
      </c>
      <c r="R235" s="2">
        <f>Table4[[#This Row],[total_followers]]/(Table4[[#This Row],[total_time_streamed]] / 60)</f>
        <v>16508.067852709974</v>
      </c>
      <c r="S235" t="str">
        <f>IF(Table4[[#This Row],[avg_games_per_stream]] &gt; 2, "Variety", "Focused")</f>
        <v>Variety</v>
      </c>
      <c r="T235" s="4">
        <f>Table4[[#This Row],[avg_viewers_per_stream]] / Table4[[#This Row],[total_followers]]</f>
        <v>1.1003007518796992E-2</v>
      </c>
    </row>
    <row r="236" spans="1:20">
      <c r="A236">
        <v>236</v>
      </c>
      <c r="B236" t="s">
        <v>366</v>
      </c>
      <c r="C236" t="s">
        <v>6</v>
      </c>
      <c r="D236" t="s">
        <v>39</v>
      </c>
      <c r="E236" t="s">
        <v>46</v>
      </c>
      <c r="F236" t="s">
        <v>123</v>
      </c>
      <c r="G236" s="3">
        <v>8</v>
      </c>
      <c r="H236">
        <v>1143</v>
      </c>
      <c r="I236">
        <v>118635</v>
      </c>
      <c r="J236">
        <v>2.1</v>
      </c>
      <c r="K236">
        <v>15787</v>
      </c>
      <c r="L236" s="2">
        <v>2440000</v>
      </c>
      <c r="M236" s="2">
        <v>248000000</v>
      </c>
      <c r="N236">
        <v>327</v>
      </c>
      <c r="O236">
        <v>5.0999999999999996</v>
      </c>
      <c r="P236" t="s">
        <v>20</v>
      </c>
      <c r="Q236" t="s">
        <v>15</v>
      </c>
      <c r="R236" s="2">
        <f>Table4[[#This Row],[total_followers]]/(Table4[[#This Row],[total_time_streamed]] / 60)</f>
        <v>9273.4528409450813</v>
      </c>
      <c r="S236" t="str">
        <f>IF(Table4[[#This Row],[avg_games_per_stream]] &gt; 2, "Variety", "Focused")</f>
        <v>Variety</v>
      </c>
      <c r="T236" s="4">
        <f>Table4[[#This Row],[avg_viewers_per_stream]] / Table4[[#This Row],[total_followers]]</f>
        <v>4.8620901639344259E-2</v>
      </c>
    </row>
    <row r="237" spans="1:20">
      <c r="A237">
        <v>237</v>
      </c>
      <c r="B237" t="s">
        <v>367</v>
      </c>
      <c r="C237" t="s">
        <v>61</v>
      </c>
      <c r="D237" t="s">
        <v>39</v>
      </c>
      <c r="E237" t="s">
        <v>51</v>
      </c>
      <c r="F237" t="s">
        <v>121</v>
      </c>
      <c r="G237" s="3">
        <v>6.1</v>
      </c>
      <c r="H237">
        <v>6150</v>
      </c>
      <c r="I237">
        <v>14577</v>
      </c>
      <c r="J237">
        <v>1.9</v>
      </c>
      <c r="K237">
        <v>16822</v>
      </c>
      <c r="L237" s="2">
        <v>1780000</v>
      </c>
      <c r="M237" s="2">
        <v>41100000</v>
      </c>
      <c r="N237">
        <v>304</v>
      </c>
      <c r="O237">
        <v>7</v>
      </c>
      <c r="P237" t="s">
        <v>20</v>
      </c>
      <c r="Q237" t="s">
        <v>15</v>
      </c>
      <c r="R237" s="2">
        <f>Table4[[#This Row],[total_followers]]/(Table4[[#This Row],[total_time_streamed]] / 60)</f>
        <v>6348.8289145167046</v>
      </c>
      <c r="S237" t="str">
        <f>IF(Table4[[#This Row],[avg_games_per_stream]] &gt; 2, "Variety", "Focused")</f>
        <v>Focused</v>
      </c>
      <c r="T237" s="4">
        <f>Table4[[#This Row],[avg_viewers_per_stream]] / Table4[[#This Row],[total_followers]]</f>
        <v>8.1893258426966285E-3</v>
      </c>
    </row>
    <row r="238" spans="1:20">
      <c r="A238">
        <v>238</v>
      </c>
      <c r="B238" t="s">
        <v>368</v>
      </c>
      <c r="C238" t="s">
        <v>4</v>
      </c>
      <c r="D238" t="s">
        <v>39</v>
      </c>
      <c r="E238" t="s">
        <v>123</v>
      </c>
      <c r="F238" t="s">
        <v>117</v>
      </c>
      <c r="G238" s="3">
        <v>4.8</v>
      </c>
      <c r="H238">
        <v>4430</v>
      </c>
      <c r="I238">
        <v>42842</v>
      </c>
      <c r="J238">
        <v>1.5</v>
      </c>
      <c r="K238">
        <v>9257</v>
      </c>
      <c r="L238" s="2">
        <v>886000</v>
      </c>
      <c r="M238" s="2">
        <v>86100000</v>
      </c>
      <c r="N238">
        <v>565</v>
      </c>
      <c r="O238">
        <v>4.9000000000000004</v>
      </c>
      <c r="P238" t="s">
        <v>19</v>
      </c>
      <c r="Q238" t="s">
        <v>14</v>
      </c>
      <c r="R238" s="2">
        <f>Table4[[#This Row],[total_followers]]/(Table4[[#This Row],[total_time_streamed]] / 60)</f>
        <v>5742.6812142162689</v>
      </c>
      <c r="S238" t="str">
        <f>IF(Table4[[#This Row],[avg_games_per_stream]] &gt; 2, "Variety", "Focused")</f>
        <v>Focused</v>
      </c>
      <c r="T238" s="4">
        <f>Table4[[#This Row],[avg_viewers_per_stream]] / Table4[[#This Row],[total_followers]]</f>
        <v>4.8354401805869071E-2</v>
      </c>
    </row>
    <row r="239" spans="1:20">
      <c r="A239">
        <v>239</v>
      </c>
      <c r="B239" t="s">
        <v>369</v>
      </c>
      <c r="C239" t="s">
        <v>6</v>
      </c>
      <c r="D239" t="s">
        <v>39</v>
      </c>
      <c r="E239" t="s">
        <v>66</v>
      </c>
      <c r="F239" t="s">
        <v>85</v>
      </c>
      <c r="G239" s="3">
        <v>7.5</v>
      </c>
      <c r="H239">
        <v>112</v>
      </c>
      <c r="I239">
        <v>50</v>
      </c>
      <c r="J239">
        <v>1.9</v>
      </c>
      <c r="K239">
        <v>1848</v>
      </c>
      <c r="L239" s="2">
        <v>277000</v>
      </c>
      <c r="M239" s="2">
        <v>1300</v>
      </c>
      <c r="N239">
        <v>38</v>
      </c>
      <c r="O239">
        <v>0.9</v>
      </c>
      <c r="P239" t="s">
        <v>20</v>
      </c>
      <c r="Q239" t="s">
        <v>17</v>
      </c>
      <c r="R239" s="2">
        <f>Table4[[#This Row],[total_followers]]/(Table4[[#This Row],[total_time_streamed]] / 60)</f>
        <v>8993.5064935064929</v>
      </c>
      <c r="S239" t="str">
        <f>IF(Table4[[#This Row],[avg_games_per_stream]] &gt; 2, "Variety", "Focused")</f>
        <v>Focused</v>
      </c>
      <c r="T239" s="4">
        <f>Table4[[#This Row],[avg_viewers_per_stream]] / Table4[[#This Row],[total_followers]]</f>
        <v>1.8050541516245486E-4</v>
      </c>
    </row>
    <row r="240" spans="1:20">
      <c r="A240">
        <v>240</v>
      </c>
      <c r="B240" t="s">
        <v>370</v>
      </c>
      <c r="C240" t="s">
        <v>3</v>
      </c>
      <c r="D240" t="s">
        <v>39</v>
      </c>
      <c r="E240" t="s">
        <v>371</v>
      </c>
      <c r="F240" t="s">
        <v>372</v>
      </c>
      <c r="G240" s="3">
        <v>6</v>
      </c>
      <c r="H240">
        <v>5520</v>
      </c>
      <c r="I240">
        <v>11278</v>
      </c>
      <c r="J240">
        <v>1.2</v>
      </c>
      <c r="K240">
        <v>11662</v>
      </c>
      <c r="L240" s="2">
        <v>1020000</v>
      </c>
      <c r="M240" s="2">
        <v>20700000</v>
      </c>
      <c r="N240">
        <v>141</v>
      </c>
      <c r="O240">
        <v>5</v>
      </c>
      <c r="P240" t="s">
        <v>15</v>
      </c>
      <c r="Q240" t="s">
        <v>17</v>
      </c>
      <c r="R240" s="2">
        <f>Table4[[#This Row],[total_followers]]/(Table4[[#This Row],[total_time_streamed]] / 60)</f>
        <v>5247.8134110787169</v>
      </c>
      <c r="S240" t="str">
        <f>IF(Table4[[#This Row],[avg_games_per_stream]] &gt; 2, "Variety", "Focused")</f>
        <v>Focused</v>
      </c>
      <c r="T240" s="4">
        <f>Table4[[#This Row],[avg_viewers_per_stream]] / Table4[[#This Row],[total_followers]]</f>
        <v>1.1056862745098039E-2</v>
      </c>
    </row>
    <row r="241" spans="1:20">
      <c r="A241">
        <v>241</v>
      </c>
      <c r="B241" t="s">
        <v>373</v>
      </c>
      <c r="C241" t="s">
        <v>7</v>
      </c>
      <c r="D241" t="s">
        <v>39</v>
      </c>
      <c r="E241" t="s">
        <v>40</v>
      </c>
      <c r="F241" t="s">
        <v>51</v>
      </c>
      <c r="G241" s="3">
        <v>7.2</v>
      </c>
      <c r="H241">
        <v>8780</v>
      </c>
      <c r="I241">
        <v>6120</v>
      </c>
      <c r="J241">
        <v>1.9</v>
      </c>
      <c r="K241">
        <v>4766</v>
      </c>
      <c r="L241" s="2">
        <v>551000</v>
      </c>
      <c r="M241" s="2">
        <v>394000</v>
      </c>
      <c r="N241">
        <v>90</v>
      </c>
      <c r="O241">
        <v>2.2000000000000002</v>
      </c>
      <c r="P241" t="s">
        <v>19</v>
      </c>
      <c r="Q241" t="s">
        <v>16</v>
      </c>
      <c r="R241" s="2">
        <f>Table4[[#This Row],[total_followers]]/(Table4[[#This Row],[total_time_streamed]] / 60)</f>
        <v>6936.6344943348713</v>
      </c>
      <c r="S241" t="str">
        <f>IF(Table4[[#This Row],[avg_games_per_stream]] &gt; 2, "Variety", "Focused")</f>
        <v>Focused</v>
      </c>
      <c r="T241" s="4">
        <f>Table4[[#This Row],[avg_viewers_per_stream]] / Table4[[#This Row],[total_followers]]</f>
        <v>1.1107078039927405E-2</v>
      </c>
    </row>
    <row r="242" spans="1:20">
      <c r="A242">
        <v>242</v>
      </c>
      <c r="B242" t="s">
        <v>374</v>
      </c>
      <c r="C242" t="s">
        <v>3</v>
      </c>
      <c r="D242" t="s">
        <v>39</v>
      </c>
      <c r="E242" t="s">
        <v>123</v>
      </c>
      <c r="F242" t="s">
        <v>226</v>
      </c>
      <c r="G242" s="3">
        <v>6.8</v>
      </c>
      <c r="H242">
        <v>2470</v>
      </c>
      <c r="I242">
        <v>2840</v>
      </c>
      <c r="J242">
        <v>1</v>
      </c>
      <c r="K242">
        <v>49</v>
      </c>
      <c r="L242" s="2">
        <v>165000</v>
      </c>
      <c r="M242" s="2">
        <v>190000</v>
      </c>
      <c r="N242">
        <v>14</v>
      </c>
      <c r="O242">
        <v>4</v>
      </c>
      <c r="P242" t="s">
        <v>18</v>
      </c>
      <c r="Q242" t="s">
        <v>16</v>
      </c>
      <c r="R242" s="2">
        <f>Table4[[#This Row],[total_followers]]/(Table4[[#This Row],[total_time_streamed]] / 60)</f>
        <v>202040.81632653062</v>
      </c>
      <c r="S242" t="str">
        <f>IF(Table4[[#This Row],[avg_games_per_stream]] &gt; 2, "Variety", "Focused")</f>
        <v>Focused</v>
      </c>
      <c r="T242" s="4">
        <f>Table4[[#This Row],[avg_viewers_per_stream]] / Table4[[#This Row],[total_followers]]</f>
        <v>1.7212121212121213E-2</v>
      </c>
    </row>
    <row r="243" spans="1:20">
      <c r="A243">
        <v>243</v>
      </c>
      <c r="B243" t="s">
        <v>375</v>
      </c>
      <c r="C243" t="s">
        <v>376</v>
      </c>
      <c r="D243" t="s">
        <v>39</v>
      </c>
      <c r="E243" t="s">
        <v>40</v>
      </c>
      <c r="F243" t="s">
        <v>46</v>
      </c>
      <c r="G243" s="3">
        <v>5</v>
      </c>
      <c r="H243">
        <v>1093</v>
      </c>
      <c r="I243">
        <v>38046</v>
      </c>
      <c r="J243">
        <v>1.2</v>
      </c>
      <c r="K243">
        <v>2602</v>
      </c>
      <c r="L243" s="2">
        <v>587000</v>
      </c>
      <c r="M243" s="2">
        <v>20400000</v>
      </c>
      <c r="N243">
        <v>31</v>
      </c>
      <c r="O243">
        <v>2.8</v>
      </c>
      <c r="P243" t="s">
        <v>19</v>
      </c>
      <c r="Q243" t="s">
        <v>14</v>
      </c>
      <c r="R243" s="2">
        <f>Table4[[#This Row],[total_followers]]/(Table4[[#This Row],[total_time_streamed]] / 60)</f>
        <v>13535.741737125289</v>
      </c>
      <c r="S243" t="str">
        <f>IF(Table4[[#This Row],[avg_games_per_stream]] &gt; 2, "Variety", "Focused")</f>
        <v>Focused</v>
      </c>
      <c r="T243" s="4">
        <f>Table4[[#This Row],[avg_viewers_per_stream]] / Table4[[#This Row],[total_followers]]</f>
        <v>6.4814310051107327E-2</v>
      </c>
    </row>
    <row r="244" spans="1:20">
      <c r="A244">
        <v>244</v>
      </c>
      <c r="B244" t="s">
        <v>377</v>
      </c>
      <c r="C244" t="s">
        <v>63</v>
      </c>
      <c r="D244" t="s">
        <v>39</v>
      </c>
      <c r="E244" t="s">
        <v>40</v>
      </c>
      <c r="F244" t="s">
        <v>66</v>
      </c>
      <c r="G244" s="3">
        <v>4.3</v>
      </c>
      <c r="H244">
        <v>2800</v>
      </c>
      <c r="I244">
        <v>5997</v>
      </c>
      <c r="J244">
        <v>1.9</v>
      </c>
      <c r="K244">
        <v>584</v>
      </c>
      <c r="L244" s="2">
        <v>381000</v>
      </c>
      <c r="M244" s="2">
        <v>8170000</v>
      </c>
      <c r="N244">
        <v>101</v>
      </c>
      <c r="O244">
        <v>4.3</v>
      </c>
      <c r="P244" t="s">
        <v>16</v>
      </c>
      <c r="Q244" t="s">
        <v>17</v>
      </c>
      <c r="R244" s="2">
        <f>Table4[[#This Row],[total_followers]]/(Table4[[#This Row],[total_time_streamed]] / 60)</f>
        <v>39143.835616438359</v>
      </c>
      <c r="S244" t="str">
        <f>IF(Table4[[#This Row],[avg_games_per_stream]] &gt; 2, "Variety", "Focused")</f>
        <v>Focused</v>
      </c>
      <c r="T244" s="4">
        <f>Table4[[#This Row],[avg_viewers_per_stream]] / Table4[[#This Row],[total_followers]]</f>
        <v>1.5740157480314959E-2</v>
      </c>
    </row>
    <row r="245" spans="1:20">
      <c r="A245">
        <v>245</v>
      </c>
      <c r="B245" t="s">
        <v>378</v>
      </c>
      <c r="C245" t="s">
        <v>4</v>
      </c>
      <c r="D245" t="s">
        <v>39</v>
      </c>
      <c r="E245" t="s">
        <v>51</v>
      </c>
      <c r="F245" t="s">
        <v>40</v>
      </c>
      <c r="G245" s="3">
        <v>5.3</v>
      </c>
      <c r="H245">
        <v>6850</v>
      </c>
      <c r="I245">
        <v>27739</v>
      </c>
      <c r="J245">
        <v>2.1</v>
      </c>
      <c r="K245">
        <v>90920</v>
      </c>
      <c r="L245" s="2">
        <v>1100000</v>
      </c>
      <c r="M245" s="2">
        <v>44500000</v>
      </c>
      <c r="N245">
        <v>195</v>
      </c>
      <c r="O245">
        <v>4.5</v>
      </c>
      <c r="P245" t="s">
        <v>15</v>
      </c>
      <c r="Q245" t="s">
        <v>15</v>
      </c>
      <c r="R245" s="2">
        <f>Table4[[#This Row],[total_followers]]/(Table4[[#This Row],[total_time_streamed]] / 60)</f>
        <v>725.91289045314568</v>
      </c>
      <c r="S245" t="str">
        <f>IF(Table4[[#This Row],[avg_games_per_stream]] &gt; 2, "Variety", "Focused")</f>
        <v>Variety</v>
      </c>
      <c r="T245" s="4">
        <f>Table4[[#This Row],[avg_viewers_per_stream]] / Table4[[#This Row],[total_followers]]</f>
        <v>2.5217272727272727E-2</v>
      </c>
    </row>
    <row r="246" spans="1:20">
      <c r="A246">
        <v>246</v>
      </c>
      <c r="B246" t="s">
        <v>379</v>
      </c>
      <c r="C246" t="s">
        <v>3</v>
      </c>
      <c r="D246" t="s">
        <v>39</v>
      </c>
      <c r="E246" t="s">
        <v>380</v>
      </c>
      <c r="F246" t="s">
        <v>381</v>
      </c>
      <c r="G246" s="3">
        <v>3.6</v>
      </c>
      <c r="H246">
        <v>8000</v>
      </c>
      <c r="I246">
        <v>23958</v>
      </c>
      <c r="J246">
        <v>1</v>
      </c>
      <c r="K246">
        <v>1393</v>
      </c>
      <c r="L246" s="2">
        <v>339000</v>
      </c>
      <c r="M246" s="2">
        <v>12000000</v>
      </c>
      <c r="N246">
        <v>5</v>
      </c>
      <c r="O246">
        <v>1</v>
      </c>
      <c r="P246" t="s">
        <v>18</v>
      </c>
      <c r="Q246" t="s">
        <v>15</v>
      </c>
      <c r="R246" s="2">
        <f>Table4[[#This Row],[total_followers]]/(Table4[[#This Row],[total_time_streamed]] / 60)</f>
        <v>14601.579325197417</v>
      </c>
      <c r="S246" t="str">
        <f>IF(Table4[[#This Row],[avg_games_per_stream]] &gt; 2, "Variety", "Focused")</f>
        <v>Focused</v>
      </c>
      <c r="T246" s="4">
        <f>Table4[[#This Row],[avg_viewers_per_stream]] / Table4[[#This Row],[total_followers]]</f>
        <v>7.0672566371681414E-2</v>
      </c>
    </row>
    <row r="247" spans="1:20">
      <c r="A247">
        <v>247</v>
      </c>
      <c r="B247" t="s">
        <v>382</v>
      </c>
      <c r="C247" t="s">
        <v>3</v>
      </c>
      <c r="D247" t="s">
        <v>39</v>
      </c>
      <c r="E247" t="s">
        <v>40</v>
      </c>
      <c r="F247" t="s">
        <v>66</v>
      </c>
      <c r="G247" s="3">
        <v>3.2</v>
      </c>
      <c r="H247">
        <v>1839</v>
      </c>
      <c r="I247">
        <v>5588</v>
      </c>
      <c r="J247">
        <v>1.4</v>
      </c>
      <c r="K247">
        <v>2387</v>
      </c>
      <c r="L247" s="2">
        <v>904000</v>
      </c>
      <c r="M247" s="2">
        <v>2750000</v>
      </c>
      <c r="N247">
        <v>130</v>
      </c>
      <c r="O247">
        <v>2.7</v>
      </c>
      <c r="P247" t="s">
        <v>17</v>
      </c>
      <c r="Q247" t="s">
        <v>17</v>
      </c>
      <c r="R247" s="2">
        <f>Table4[[#This Row],[total_followers]]/(Table4[[#This Row],[total_time_streamed]] / 60)</f>
        <v>22723.083368244661</v>
      </c>
      <c r="S247" t="str">
        <f>IF(Table4[[#This Row],[avg_games_per_stream]] &gt; 2, "Variety", "Focused")</f>
        <v>Focused</v>
      </c>
      <c r="T247" s="4">
        <f>Table4[[#This Row],[avg_viewers_per_stream]] / Table4[[#This Row],[total_followers]]</f>
        <v>6.1814159292035396E-3</v>
      </c>
    </row>
    <row r="248" spans="1:20">
      <c r="A248">
        <v>248</v>
      </c>
      <c r="B248" t="s">
        <v>383</v>
      </c>
      <c r="C248" t="s">
        <v>7</v>
      </c>
      <c r="D248" t="s">
        <v>39</v>
      </c>
      <c r="E248" t="s">
        <v>104</v>
      </c>
      <c r="F248" t="s">
        <v>40</v>
      </c>
      <c r="G248" s="3">
        <v>5.0999999999999996</v>
      </c>
      <c r="H248">
        <v>4430</v>
      </c>
      <c r="I248">
        <v>2792</v>
      </c>
      <c r="J248">
        <v>1</v>
      </c>
      <c r="K248">
        <v>5497</v>
      </c>
      <c r="L248" s="2">
        <v>720000</v>
      </c>
      <c r="M248" s="2">
        <v>4540000</v>
      </c>
      <c r="N248">
        <v>12</v>
      </c>
      <c r="O248">
        <v>6</v>
      </c>
      <c r="P248" t="s">
        <v>17</v>
      </c>
      <c r="Q248" t="s">
        <v>14</v>
      </c>
      <c r="R248" s="2">
        <f>Table4[[#This Row],[total_followers]]/(Table4[[#This Row],[total_time_streamed]] / 60)</f>
        <v>7858.8320902310361</v>
      </c>
      <c r="S248" t="str">
        <f>IF(Table4[[#This Row],[avg_games_per_stream]] &gt; 2, "Variety", "Focused")</f>
        <v>Focused</v>
      </c>
      <c r="T248" s="4">
        <f>Table4[[#This Row],[avg_viewers_per_stream]] / Table4[[#This Row],[total_followers]]</f>
        <v>3.8777777777777777E-3</v>
      </c>
    </row>
    <row r="249" spans="1:20">
      <c r="A249">
        <v>249</v>
      </c>
      <c r="B249" t="s">
        <v>384</v>
      </c>
      <c r="C249" t="s">
        <v>5</v>
      </c>
      <c r="D249" t="s">
        <v>39</v>
      </c>
      <c r="E249" t="s">
        <v>40</v>
      </c>
      <c r="F249" t="s">
        <v>385</v>
      </c>
      <c r="G249" s="3">
        <v>6</v>
      </c>
      <c r="H249">
        <v>3690</v>
      </c>
      <c r="I249">
        <v>2965</v>
      </c>
      <c r="J249">
        <v>1.3</v>
      </c>
      <c r="K249">
        <v>3716</v>
      </c>
      <c r="L249" s="2">
        <v>261000</v>
      </c>
      <c r="M249" s="2">
        <v>2100000</v>
      </c>
      <c r="N249">
        <v>89</v>
      </c>
      <c r="O249">
        <v>4.8</v>
      </c>
      <c r="P249" t="s">
        <v>15</v>
      </c>
      <c r="Q249" t="s">
        <v>14</v>
      </c>
      <c r="R249" s="2">
        <f>Table4[[#This Row],[total_followers]]/(Table4[[#This Row],[total_time_streamed]] / 60)</f>
        <v>4214.2088266953715</v>
      </c>
      <c r="S249" t="str">
        <f>IF(Table4[[#This Row],[avg_games_per_stream]] &gt; 2, "Variety", "Focused")</f>
        <v>Focused</v>
      </c>
      <c r="T249" s="4">
        <f>Table4[[#This Row],[avg_viewers_per_stream]] / Table4[[#This Row],[total_followers]]</f>
        <v>1.1360153256704981E-2</v>
      </c>
    </row>
    <row r="250" spans="1:20">
      <c r="A250">
        <v>250</v>
      </c>
      <c r="B250" t="s">
        <v>386</v>
      </c>
      <c r="C250" t="s">
        <v>3</v>
      </c>
      <c r="D250" t="s">
        <v>39</v>
      </c>
      <c r="E250" t="s">
        <v>40</v>
      </c>
      <c r="F250" t="s">
        <v>387</v>
      </c>
      <c r="G250" s="3">
        <v>2.4</v>
      </c>
      <c r="H250">
        <v>7086</v>
      </c>
      <c r="I250">
        <v>4392</v>
      </c>
      <c r="J250">
        <v>1.3</v>
      </c>
      <c r="K250">
        <v>7110</v>
      </c>
      <c r="L250" s="2">
        <v>2100000</v>
      </c>
      <c r="M250" s="2">
        <v>1300000</v>
      </c>
      <c r="N250">
        <v>49</v>
      </c>
      <c r="O250">
        <v>0.8</v>
      </c>
      <c r="P250" t="s">
        <v>18</v>
      </c>
      <c r="Q250" t="s">
        <v>17</v>
      </c>
      <c r="R250" s="2">
        <f>Table4[[#This Row],[total_followers]]/(Table4[[#This Row],[total_time_streamed]] / 60)</f>
        <v>17721.518987341773</v>
      </c>
      <c r="S250" t="str">
        <f>IF(Table4[[#This Row],[avg_games_per_stream]] &gt; 2, "Variety", "Focused")</f>
        <v>Focused</v>
      </c>
      <c r="T250" s="4">
        <f>Table4[[#This Row],[avg_viewers_per_stream]] / Table4[[#This Row],[total_followers]]</f>
        <v>2.0914285714285713E-3</v>
      </c>
    </row>
    <row r="251" spans="1:20">
      <c r="A251">
        <v>251</v>
      </c>
      <c r="B251" t="s">
        <v>388</v>
      </c>
      <c r="C251" t="s">
        <v>6</v>
      </c>
      <c r="D251" t="s">
        <v>39</v>
      </c>
      <c r="E251" t="s">
        <v>66</v>
      </c>
      <c r="F251" t="s">
        <v>40</v>
      </c>
      <c r="G251" s="3">
        <v>5.6</v>
      </c>
      <c r="H251">
        <v>5720</v>
      </c>
      <c r="I251">
        <v>5979</v>
      </c>
      <c r="J251">
        <v>1.6</v>
      </c>
      <c r="K251">
        <v>7712</v>
      </c>
      <c r="L251" s="2">
        <v>764000</v>
      </c>
      <c r="M251" s="2">
        <v>7990000</v>
      </c>
      <c r="N251">
        <v>121</v>
      </c>
      <c r="O251">
        <v>4.3</v>
      </c>
      <c r="P251" t="s">
        <v>18</v>
      </c>
      <c r="Q251" t="s">
        <v>14</v>
      </c>
      <c r="R251" s="2">
        <f>Table4[[#This Row],[total_followers]]/(Table4[[#This Row],[total_time_streamed]] / 60)</f>
        <v>5943.9834024896263</v>
      </c>
      <c r="S251" t="str">
        <f>IF(Table4[[#This Row],[avg_games_per_stream]] &gt; 2, "Variety", "Focused")</f>
        <v>Focused</v>
      </c>
      <c r="T251" s="4">
        <f>Table4[[#This Row],[avg_viewers_per_stream]] / Table4[[#This Row],[total_followers]]</f>
        <v>7.825916230366492E-3</v>
      </c>
    </row>
    <row r="252" spans="1:20">
      <c r="A252">
        <v>252</v>
      </c>
      <c r="B252" t="s">
        <v>389</v>
      </c>
      <c r="C252" t="s">
        <v>7</v>
      </c>
      <c r="D252" t="s">
        <v>39</v>
      </c>
      <c r="E252" t="s">
        <v>40</v>
      </c>
      <c r="F252" t="s">
        <v>46</v>
      </c>
      <c r="G252" s="3">
        <v>5.2</v>
      </c>
      <c r="H252">
        <v>5580</v>
      </c>
      <c r="I252">
        <v>1548</v>
      </c>
      <c r="J252">
        <v>1.4</v>
      </c>
      <c r="K252">
        <v>804</v>
      </c>
      <c r="L252" s="2">
        <v>949000</v>
      </c>
      <c r="M252" s="2">
        <v>2640000</v>
      </c>
      <c r="N252">
        <v>29</v>
      </c>
      <c r="O252">
        <v>4.3</v>
      </c>
      <c r="P252" t="s">
        <v>16</v>
      </c>
      <c r="Q252" t="s">
        <v>19</v>
      </c>
      <c r="R252" s="2">
        <f>Table4[[#This Row],[total_followers]]/(Table4[[#This Row],[total_time_streamed]] / 60)</f>
        <v>70820.895522388062</v>
      </c>
      <c r="S252" t="str">
        <f>IF(Table4[[#This Row],[avg_games_per_stream]] &gt; 2, "Variety", "Focused")</f>
        <v>Focused</v>
      </c>
      <c r="T252" s="4">
        <f>Table4[[#This Row],[avg_viewers_per_stream]] / Table4[[#This Row],[total_followers]]</f>
        <v>1.6311907270811379E-3</v>
      </c>
    </row>
    <row r="253" spans="1:20">
      <c r="A253">
        <v>253</v>
      </c>
      <c r="B253" t="s">
        <v>390</v>
      </c>
      <c r="C253" t="s">
        <v>3</v>
      </c>
      <c r="D253" t="s">
        <v>39</v>
      </c>
      <c r="E253" t="s">
        <v>66</v>
      </c>
      <c r="F253" t="s">
        <v>40</v>
      </c>
      <c r="G253" s="3">
        <v>4.8</v>
      </c>
      <c r="H253">
        <v>3654</v>
      </c>
      <c r="I253">
        <v>2117</v>
      </c>
      <c r="J253">
        <v>2</v>
      </c>
      <c r="K253">
        <v>2825</v>
      </c>
      <c r="L253" s="2">
        <v>2049999</v>
      </c>
      <c r="M253" s="2">
        <v>1190000</v>
      </c>
      <c r="N253">
        <v>85</v>
      </c>
      <c r="O253">
        <v>1.5</v>
      </c>
      <c r="P253" t="s">
        <v>20</v>
      </c>
      <c r="Q253" t="s">
        <v>20</v>
      </c>
      <c r="R253" s="2">
        <f>Table4[[#This Row],[total_followers]]/(Table4[[#This Row],[total_time_streamed]] / 60)</f>
        <v>43539.801769911501</v>
      </c>
      <c r="S253" t="str">
        <f>IF(Table4[[#This Row],[avg_games_per_stream]] &gt; 2, "Variety", "Focused")</f>
        <v>Focused</v>
      </c>
      <c r="T253" s="4">
        <f>Table4[[#This Row],[avg_viewers_per_stream]] / Table4[[#This Row],[total_followers]]</f>
        <v>1.0326834305772832E-3</v>
      </c>
    </row>
    <row r="254" spans="1:20">
      <c r="A254">
        <v>254</v>
      </c>
      <c r="B254" t="s">
        <v>391</v>
      </c>
      <c r="C254" t="s">
        <v>160</v>
      </c>
      <c r="D254" t="s">
        <v>39</v>
      </c>
      <c r="E254" t="s">
        <v>40</v>
      </c>
      <c r="F254" t="s">
        <v>41</v>
      </c>
      <c r="G254" s="3">
        <v>5.5</v>
      </c>
      <c r="H254">
        <v>7210</v>
      </c>
      <c r="I254">
        <v>4497</v>
      </c>
      <c r="J254">
        <v>1.3</v>
      </c>
      <c r="K254">
        <v>3783</v>
      </c>
      <c r="L254" s="2">
        <v>437000</v>
      </c>
      <c r="M254" s="2">
        <v>2730000</v>
      </c>
      <c r="N254">
        <v>43</v>
      </c>
      <c r="O254">
        <v>2.7</v>
      </c>
      <c r="P254" t="s">
        <v>19</v>
      </c>
      <c r="Q254" t="s">
        <v>14</v>
      </c>
      <c r="R254" s="2">
        <f>Table4[[#This Row],[total_followers]]/(Table4[[#This Row],[total_time_streamed]] / 60)</f>
        <v>6931.0071371927042</v>
      </c>
      <c r="S254" t="str">
        <f>IF(Table4[[#This Row],[avg_games_per_stream]] &gt; 2, "Variety", "Focused")</f>
        <v>Focused</v>
      </c>
      <c r="T254" s="4">
        <f>Table4[[#This Row],[avg_viewers_per_stream]] / Table4[[#This Row],[total_followers]]</f>
        <v>1.0290617848970252E-2</v>
      </c>
    </row>
    <row r="255" spans="1:20">
      <c r="A255">
        <v>255</v>
      </c>
      <c r="B255" t="s">
        <v>392</v>
      </c>
      <c r="C255" t="s">
        <v>3</v>
      </c>
      <c r="D255" t="s">
        <v>39</v>
      </c>
      <c r="E255" t="s">
        <v>40</v>
      </c>
      <c r="F255" t="s">
        <v>51</v>
      </c>
      <c r="G255" s="3">
        <v>5.5</v>
      </c>
      <c r="H255">
        <v>1101</v>
      </c>
      <c r="I255">
        <v>0</v>
      </c>
      <c r="J255">
        <v>2.2999999999999998</v>
      </c>
      <c r="K255">
        <v>1877</v>
      </c>
      <c r="L255" s="2">
        <v>330000</v>
      </c>
      <c r="M255" s="2">
        <v>0</v>
      </c>
      <c r="N255">
        <v>159</v>
      </c>
      <c r="O255">
        <v>6.3</v>
      </c>
      <c r="P255" t="s">
        <v>14</v>
      </c>
      <c r="Q255" t="s">
        <v>14</v>
      </c>
      <c r="R255" s="2">
        <f>Table4[[#This Row],[total_followers]]/(Table4[[#This Row],[total_time_streamed]] / 60)</f>
        <v>10548.74800213106</v>
      </c>
      <c r="S255" t="str">
        <f>IF(Table4[[#This Row],[avg_games_per_stream]] &gt; 2, "Variety", "Focused")</f>
        <v>Variety</v>
      </c>
      <c r="T255" s="4">
        <f>Table4[[#This Row],[avg_viewers_per_stream]] / Table4[[#This Row],[total_followers]]</f>
        <v>0</v>
      </c>
    </row>
    <row r="256" spans="1:20">
      <c r="A256">
        <v>256</v>
      </c>
      <c r="B256" t="s">
        <v>393</v>
      </c>
      <c r="C256" t="s">
        <v>4</v>
      </c>
      <c r="D256" t="s">
        <v>39</v>
      </c>
      <c r="E256" t="s">
        <v>46</v>
      </c>
      <c r="F256" t="s">
        <v>54</v>
      </c>
      <c r="G256" s="3">
        <v>5.4</v>
      </c>
      <c r="H256">
        <v>1980</v>
      </c>
      <c r="I256">
        <v>5500</v>
      </c>
      <c r="J256">
        <v>1.3</v>
      </c>
      <c r="K256">
        <v>4593</v>
      </c>
      <c r="L256" s="2">
        <v>184000</v>
      </c>
      <c r="M256" s="2">
        <v>513000</v>
      </c>
      <c r="N256">
        <v>47</v>
      </c>
      <c r="O256">
        <v>6.8</v>
      </c>
      <c r="P256" t="s">
        <v>17</v>
      </c>
      <c r="Q256" t="s">
        <v>17</v>
      </c>
      <c r="R256" s="2">
        <f>Table4[[#This Row],[total_followers]]/(Table4[[#This Row],[total_time_streamed]] / 60)</f>
        <v>2403.6577400391902</v>
      </c>
      <c r="S256" t="str">
        <f>IF(Table4[[#This Row],[avg_games_per_stream]] &gt; 2, "Variety", "Focused")</f>
        <v>Focused</v>
      </c>
      <c r="T256" s="4">
        <f>Table4[[#This Row],[avg_viewers_per_stream]] / Table4[[#This Row],[total_followers]]</f>
        <v>2.9891304347826088E-2</v>
      </c>
    </row>
    <row r="257" spans="1:20">
      <c r="A257">
        <v>257</v>
      </c>
      <c r="B257" t="s">
        <v>394</v>
      </c>
      <c r="C257" t="s">
        <v>61</v>
      </c>
      <c r="D257" t="s">
        <v>39</v>
      </c>
      <c r="E257" t="s">
        <v>40</v>
      </c>
      <c r="F257" t="s">
        <v>12</v>
      </c>
      <c r="G257" s="3">
        <v>12</v>
      </c>
      <c r="H257">
        <v>910</v>
      </c>
      <c r="I257">
        <v>33518</v>
      </c>
      <c r="J257">
        <v>5.0999999999999996</v>
      </c>
      <c r="K257">
        <v>30503</v>
      </c>
      <c r="L257" s="2">
        <v>238000</v>
      </c>
      <c r="M257" s="2">
        <v>83500000</v>
      </c>
      <c r="N257">
        <v>1236</v>
      </c>
      <c r="O257">
        <v>6.5</v>
      </c>
      <c r="P257" t="s">
        <v>20</v>
      </c>
      <c r="Q257" t="s">
        <v>17</v>
      </c>
      <c r="R257" s="2">
        <f>Table4[[#This Row],[total_followers]]/(Table4[[#This Row],[total_time_streamed]] / 60)</f>
        <v>468.15067370422582</v>
      </c>
      <c r="S257" t="str">
        <f>IF(Table4[[#This Row],[avg_games_per_stream]] &gt; 2, "Variety", "Focused")</f>
        <v>Variety</v>
      </c>
      <c r="T257" s="4">
        <f>Table4[[#This Row],[avg_viewers_per_stream]] / Table4[[#This Row],[total_followers]]</f>
        <v>0.14083193277310924</v>
      </c>
    </row>
    <row r="258" spans="1:20">
      <c r="A258">
        <v>258</v>
      </c>
      <c r="B258" t="s">
        <v>395</v>
      </c>
      <c r="C258" t="s">
        <v>61</v>
      </c>
      <c r="D258" t="s">
        <v>39</v>
      </c>
      <c r="E258" t="s">
        <v>40</v>
      </c>
      <c r="F258" t="s">
        <v>193</v>
      </c>
      <c r="G258" s="3">
        <v>1.6</v>
      </c>
      <c r="H258">
        <v>8410</v>
      </c>
      <c r="I258">
        <v>0</v>
      </c>
      <c r="J258">
        <v>1.3</v>
      </c>
      <c r="K258">
        <v>5880</v>
      </c>
      <c r="L258" s="2">
        <v>311000</v>
      </c>
      <c r="M258" s="2">
        <v>0</v>
      </c>
      <c r="N258">
        <v>36</v>
      </c>
      <c r="O258">
        <v>5.9</v>
      </c>
      <c r="P258" t="s">
        <v>16</v>
      </c>
      <c r="Q258" t="s">
        <v>14</v>
      </c>
      <c r="R258" s="2">
        <f>Table4[[#This Row],[total_followers]]/(Table4[[#This Row],[total_time_streamed]] / 60)</f>
        <v>3173.4693877551022</v>
      </c>
      <c r="S258" t="str">
        <f>IF(Table4[[#This Row],[avg_games_per_stream]] &gt; 2, "Variety", "Focused")</f>
        <v>Focused</v>
      </c>
      <c r="T258" s="4">
        <f>Table4[[#This Row],[avg_viewers_per_stream]] / Table4[[#This Row],[total_followers]]</f>
        <v>0</v>
      </c>
    </row>
    <row r="259" spans="1:20">
      <c r="A259">
        <v>259</v>
      </c>
      <c r="B259" t="s">
        <v>396</v>
      </c>
      <c r="C259" t="s">
        <v>3</v>
      </c>
      <c r="D259" t="s">
        <v>39</v>
      </c>
      <c r="E259" t="s">
        <v>46</v>
      </c>
      <c r="F259" t="s">
        <v>224</v>
      </c>
      <c r="G259" s="3">
        <v>4.5999999999999996</v>
      </c>
      <c r="H259">
        <v>1620</v>
      </c>
      <c r="I259">
        <v>6212</v>
      </c>
      <c r="J259">
        <v>1.1000000000000001</v>
      </c>
      <c r="K259">
        <v>6129</v>
      </c>
      <c r="L259" s="2">
        <v>452000</v>
      </c>
      <c r="M259" s="2">
        <v>20100000</v>
      </c>
      <c r="N259">
        <v>32</v>
      </c>
      <c r="O259">
        <v>3.4</v>
      </c>
      <c r="P259" t="s">
        <v>17</v>
      </c>
      <c r="Q259" t="s">
        <v>16</v>
      </c>
      <c r="R259" s="2">
        <f>Table4[[#This Row],[total_followers]]/(Table4[[#This Row],[total_time_streamed]] / 60)</f>
        <v>4424.8653940283893</v>
      </c>
      <c r="S259" t="str">
        <f>IF(Table4[[#This Row],[avg_games_per_stream]] &gt; 2, "Variety", "Focused")</f>
        <v>Focused</v>
      </c>
      <c r="T259" s="4">
        <f>Table4[[#This Row],[avg_viewers_per_stream]] / Table4[[#This Row],[total_followers]]</f>
        <v>1.3743362831858407E-2</v>
      </c>
    </row>
    <row r="260" spans="1:20">
      <c r="A260">
        <v>260</v>
      </c>
      <c r="B260" t="s">
        <v>397</v>
      </c>
      <c r="C260" t="s">
        <v>6</v>
      </c>
      <c r="D260" t="s">
        <v>58</v>
      </c>
      <c r="E260" t="s">
        <v>54</v>
      </c>
      <c r="F260" t="s">
        <v>240</v>
      </c>
      <c r="G260" s="3">
        <v>5.3</v>
      </c>
      <c r="H260">
        <v>1647</v>
      </c>
      <c r="I260">
        <v>36671</v>
      </c>
      <c r="J260">
        <v>1</v>
      </c>
      <c r="K260">
        <v>272</v>
      </c>
      <c r="L260" s="2">
        <v>750000</v>
      </c>
      <c r="M260" s="2">
        <v>16600000</v>
      </c>
      <c r="N260">
        <v>3</v>
      </c>
      <c r="O260">
        <v>2.8</v>
      </c>
      <c r="P260" t="s">
        <v>15</v>
      </c>
      <c r="Q260" t="s">
        <v>14</v>
      </c>
      <c r="R260" s="2">
        <f>Table4[[#This Row],[total_followers]]/(Table4[[#This Row],[total_time_streamed]] / 60)</f>
        <v>165441.17647058825</v>
      </c>
      <c r="S260" t="str">
        <f>IF(Table4[[#This Row],[avg_games_per_stream]] &gt; 2, "Variety", "Focused")</f>
        <v>Focused</v>
      </c>
      <c r="T260" s="4">
        <f>Table4[[#This Row],[avg_viewers_per_stream]] / Table4[[#This Row],[total_followers]]</f>
        <v>4.889466666666667E-2</v>
      </c>
    </row>
    <row r="261" spans="1:20">
      <c r="A261">
        <v>261</v>
      </c>
      <c r="B261" t="s">
        <v>398</v>
      </c>
      <c r="C261" t="s">
        <v>2</v>
      </c>
      <c r="D261" t="s">
        <v>39</v>
      </c>
      <c r="E261" t="s">
        <v>240</v>
      </c>
      <c r="F261" t="s">
        <v>43</v>
      </c>
      <c r="G261" s="3">
        <v>5.0999999999999996</v>
      </c>
      <c r="H261">
        <v>880</v>
      </c>
      <c r="I261">
        <v>33342</v>
      </c>
      <c r="J261">
        <v>1.8</v>
      </c>
      <c r="K261">
        <v>13349</v>
      </c>
      <c r="L261" s="2">
        <v>548000</v>
      </c>
      <c r="M261" s="2">
        <v>138000000</v>
      </c>
      <c r="N261">
        <v>1256</v>
      </c>
      <c r="O261">
        <v>6.7</v>
      </c>
      <c r="P261" t="s">
        <v>15</v>
      </c>
      <c r="Q261" t="s">
        <v>14</v>
      </c>
      <c r="R261" s="2">
        <f>Table4[[#This Row],[total_followers]]/(Table4[[#This Row],[total_time_streamed]] / 60)</f>
        <v>2463.1058506255154</v>
      </c>
      <c r="S261" t="str">
        <f>IF(Table4[[#This Row],[avg_games_per_stream]] &gt; 2, "Variety", "Focused")</f>
        <v>Focused</v>
      </c>
      <c r="T261" s="4">
        <f>Table4[[#This Row],[avg_viewers_per_stream]] / Table4[[#This Row],[total_followers]]</f>
        <v>6.0843065693430655E-2</v>
      </c>
    </row>
    <row r="262" spans="1:20">
      <c r="A262">
        <v>262</v>
      </c>
      <c r="B262" t="s">
        <v>399</v>
      </c>
      <c r="C262" t="s">
        <v>160</v>
      </c>
      <c r="D262" t="s">
        <v>39</v>
      </c>
      <c r="E262" t="s">
        <v>56</v>
      </c>
      <c r="F262" t="s">
        <v>88</v>
      </c>
      <c r="G262" s="3">
        <v>6.8</v>
      </c>
      <c r="H262">
        <v>5450</v>
      </c>
      <c r="I262">
        <v>51797</v>
      </c>
      <c r="J262">
        <v>1.6</v>
      </c>
      <c r="K262">
        <v>13869</v>
      </c>
      <c r="L262" s="2">
        <v>1950000</v>
      </c>
      <c r="M262" s="2">
        <v>190000000</v>
      </c>
      <c r="N262">
        <v>195</v>
      </c>
      <c r="O262">
        <v>5.2</v>
      </c>
      <c r="P262" t="s">
        <v>17</v>
      </c>
      <c r="Q262" t="s">
        <v>18</v>
      </c>
      <c r="R262" s="2">
        <f>Table4[[#This Row],[total_followers]]/(Table4[[#This Row],[total_time_streamed]] / 60)</f>
        <v>8436.0804672290724</v>
      </c>
      <c r="S262" t="str">
        <f>IF(Table4[[#This Row],[avg_games_per_stream]] &gt; 2, "Variety", "Focused")</f>
        <v>Focused</v>
      </c>
      <c r="T262" s="4">
        <f>Table4[[#This Row],[avg_viewers_per_stream]] / Table4[[#This Row],[total_followers]]</f>
        <v>2.6562564102564103E-2</v>
      </c>
    </row>
    <row r="263" spans="1:20">
      <c r="A263">
        <v>263</v>
      </c>
      <c r="B263" t="s">
        <v>400</v>
      </c>
      <c r="C263" t="s">
        <v>2</v>
      </c>
      <c r="D263" t="s">
        <v>39</v>
      </c>
      <c r="E263" t="s">
        <v>46</v>
      </c>
      <c r="F263" t="s">
        <v>40</v>
      </c>
      <c r="G263" s="3">
        <v>5.3</v>
      </c>
      <c r="H263">
        <v>1200</v>
      </c>
      <c r="I263">
        <v>26169</v>
      </c>
      <c r="J263">
        <v>1.3</v>
      </c>
      <c r="K263">
        <v>10186</v>
      </c>
      <c r="L263" s="2">
        <v>288000</v>
      </c>
      <c r="M263" s="2">
        <v>53000000</v>
      </c>
      <c r="N263">
        <v>88</v>
      </c>
      <c r="O263">
        <v>4.8</v>
      </c>
      <c r="P263" t="s">
        <v>14</v>
      </c>
      <c r="Q263" t="s">
        <v>20</v>
      </c>
      <c r="R263" s="2">
        <f>Table4[[#This Row],[total_followers]]/(Table4[[#This Row],[total_time_streamed]] / 60)</f>
        <v>1696.4461024936186</v>
      </c>
      <c r="S263" t="str">
        <f>IF(Table4[[#This Row],[avg_games_per_stream]] &gt; 2, "Variety", "Focused")</f>
        <v>Focused</v>
      </c>
      <c r="T263" s="4">
        <f>Table4[[#This Row],[avg_viewers_per_stream]] / Table4[[#This Row],[total_followers]]</f>
        <v>9.0864583333333332E-2</v>
      </c>
    </row>
    <row r="264" spans="1:20">
      <c r="A264">
        <v>264</v>
      </c>
      <c r="B264" t="s">
        <v>401</v>
      </c>
      <c r="C264" t="s">
        <v>6</v>
      </c>
      <c r="D264" t="s">
        <v>39</v>
      </c>
      <c r="E264" t="s">
        <v>104</v>
      </c>
      <c r="F264" t="s">
        <v>40</v>
      </c>
      <c r="G264" s="3">
        <v>6.6</v>
      </c>
      <c r="H264">
        <v>2500</v>
      </c>
      <c r="I264">
        <v>5614</v>
      </c>
      <c r="J264">
        <v>2.1</v>
      </c>
      <c r="K264">
        <v>9336</v>
      </c>
      <c r="L264" s="2">
        <v>344000</v>
      </c>
      <c r="M264" s="2">
        <v>7720000</v>
      </c>
      <c r="N264">
        <v>121</v>
      </c>
      <c r="O264">
        <v>4.8</v>
      </c>
      <c r="P264" t="s">
        <v>17</v>
      </c>
      <c r="Q264" t="s">
        <v>17</v>
      </c>
      <c r="R264" s="2">
        <f>Table4[[#This Row],[total_followers]]/(Table4[[#This Row],[total_time_streamed]] / 60)</f>
        <v>2210.796915167095</v>
      </c>
      <c r="S264" t="str">
        <f>IF(Table4[[#This Row],[avg_games_per_stream]] &gt; 2, "Variety", "Focused")</f>
        <v>Variety</v>
      </c>
      <c r="T264" s="4">
        <f>Table4[[#This Row],[avg_viewers_per_stream]] / Table4[[#This Row],[total_followers]]</f>
        <v>1.6319767441860464E-2</v>
      </c>
    </row>
    <row r="265" spans="1:20">
      <c r="A265">
        <v>265</v>
      </c>
      <c r="B265" t="s">
        <v>402</v>
      </c>
      <c r="C265" t="s">
        <v>61</v>
      </c>
      <c r="D265" t="s">
        <v>39</v>
      </c>
      <c r="E265" t="s">
        <v>40</v>
      </c>
      <c r="F265" t="s">
        <v>66</v>
      </c>
      <c r="G265" s="3">
        <v>5.3</v>
      </c>
      <c r="H265">
        <v>1120</v>
      </c>
      <c r="I265">
        <v>11031</v>
      </c>
      <c r="J265">
        <v>1.8</v>
      </c>
      <c r="K265">
        <v>12214</v>
      </c>
      <c r="L265" s="2">
        <v>348000</v>
      </c>
      <c r="M265" s="2">
        <v>34000000</v>
      </c>
      <c r="N265">
        <v>272</v>
      </c>
      <c r="O265">
        <v>5.9</v>
      </c>
      <c r="P265" t="s">
        <v>14</v>
      </c>
      <c r="Q265" t="s">
        <v>14</v>
      </c>
      <c r="R265" s="2">
        <f>Table4[[#This Row],[total_followers]]/(Table4[[#This Row],[total_time_streamed]] / 60)</f>
        <v>1709.5136728344523</v>
      </c>
      <c r="S265" t="str">
        <f>IF(Table4[[#This Row],[avg_games_per_stream]] &gt; 2, "Variety", "Focused")</f>
        <v>Focused</v>
      </c>
      <c r="T265" s="4">
        <f>Table4[[#This Row],[avg_viewers_per_stream]] / Table4[[#This Row],[total_followers]]</f>
        <v>3.1698275862068963E-2</v>
      </c>
    </row>
    <row r="266" spans="1:20">
      <c r="A266">
        <v>266</v>
      </c>
      <c r="B266" t="s">
        <v>403</v>
      </c>
      <c r="C266" t="s">
        <v>3</v>
      </c>
      <c r="D266" t="s">
        <v>39</v>
      </c>
      <c r="E266" t="s">
        <v>40</v>
      </c>
      <c r="F266" t="s">
        <v>404</v>
      </c>
      <c r="G266" s="3">
        <v>4.3</v>
      </c>
      <c r="H266">
        <v>6390</v>
      </c>
      <c r="I266">
        <v>5029</v>
      </c>
      <c r="J266">
        <v>1.1000000000000001</v>
      </c>
      <c r="K266">
        <v>3736</v>
      </c>
      <c r="L266" s="2">
        <v>556000</v>
      </c>
      <c r="M266" s="2">
        <v>4610000</v>
      </c>
      <c r="N266">
        <v>16</v>
      </c>
      <c r="O266">
        <v>2.2000000000000002</v>
      </c>
      <c r="P266" t="s">
        <v>18</v>
      </c>
      <c r="Q266" t="s">
        <v>18</v>
      </c>
      <c r="R266" s="2">
        <f>Table4[[#This Row],[total_followers]]/(Table4[[#This Row],[total_time_streamed]] / 60)</f>
        <v>8929.3361884368314</v>
      </c>
      <c r="S266" t="str">
        <f>IF(Table4[[#This Row],[avg_games_per_stream]] &gt; 2, "Variety", "Focused")</f>
        <v>Focused</v>
      </c>
      <c r="T266" s="4">
        <f>Table4[[#This Row],[avg_viewers_per_stream]] / Table4[[#This Row],[total_followers]]</f>
        <v>9.0449640287769782E-3</v>
      </c>
    </row>
    <row r="267" spans="1:20">
      <c r="A267">
        <v>267</v>
      </c>
      <c r="B267" t="s">
        <v>405</v>
      </c>
      <c r="C267" t="s">
        <v>3</v>
      </c>
      <c r="D267" t="s">
        <v>58</v>
      </c>
      <c r="E267" t="s">
        <v>56</v>
      </c>
      <c r="F267" t="s">
        <v>104</v>
      </c>
      <c r="G267" s="3">
        <v>10.5</v>
      </c>
      <c r="H267">
        <v>4550</v>
      </c>
      <c r="I267">
        <v>44292</v>
      </c>
      <c r="J267">
        <v>1</v>
      </c>
      <c r="K267">
        <v>944</v>
      </c>
      <c r="L267" s="2">
        <v>417000</v>
      </c>
      <c r="M267" s="2">
        <v>40700000</v>
      </c>
      <c r="N267">
        <v>3</v>
      </c>
      <c r="O267">
        <v>3.1</v>
      </c>
      <c r="P267" t="s">
        <v>19</v>
      </c>
      <c r="Q267" t="s">
        <v>17</v>
      </c>
      <c r="R267" s="2">
        <f>Table4[[#This Row],[total_followers]]/(Table4[[#This Row],[total_time_streamed]] / 60)</f>
        <v>26504.237288135595</v>
      </c>
      <c r="S267" t="str">
        <f>IF(Table4[[#This Row],[avg_games_per_stream]] &gt; 2, "Variety", "Focused")</f>
        <v>Focused</v>
      </c>
      <c r="T267" s="4">
        <f>Table4[[#This Row],[avg_viewers_per_stream]] / Table4[[#This Row],[total_followers]]</f>
        <v>0.1062158273381295</v>
      </c>
    </row>
    <row r="268" spans="1:20">
      <c r="A268">
        <v>268</v>
      </c>
      <c r="B268" t="s">
        <v>406</v>
      </c>
      <c r="C268" t="s">
        <v>63</v>
      </c>
      <c r="D268" t="s">
        <v>39</v>
      </c>
      <c r="E268" t="s">
        <v>64</v>
      </c>
      <c r="F268" t="s">
        <v>56</v>
      </c>
      <c r="G268" s="3">
        <v>4.5</v>
      </c>
      <c r="H268">
        <v>4420</v>
      </c>
      <c r="I268">
        <v>1578</v>
      </c>
      <c r="J268">
        <v>1</v>
      </c>
      <c r="K268">
        <v>1998</v>
      </c>
      <c r="L268" s="2">
        <v>209000</v>
      </c>
      <c r="M268" s="2">
        <v>745000</v>
      </c>
      <c r="N268">
        <v>5</v>
      </c>
      <c r="O268">
        <v>1.4</v>
      </c>
      <c r="P268" t="s">
        <v>17</v>
      </c>
      <c r="Q268" t="s">
        <v>20</v>
      </c>
      <c r="R268" s="2">
        <f>Table4[[#This Row],[total_followers]]/(Table4[[#This Row],[total_time_streamed]] / 60)</f>
        <v>6276.2762762762768</v>
      </c>
      <c r="S268" t="str">
        <f>IF(Table4[[#This Row],[avg_games_per_stream]] &gt; 2, "Variety", "Focused")</f>
        <v>Focused</v>
      </c>
      <c r="T268" s="4">
        <f>Table4[[#This Row],[avg_viewers_per_stream]] / Table4[[#This Row],[total_followers]]</f>
        <v>7.5502392344497611E-3</v>
      </c>
    </row>
    <row r="269" spans="1:20">
      <c r="A269">
        <v>269</v>
      </c>
      <c r="B269" t="s">
        <v>407</v>
      </c>
      <c r="C269" t="s">
        <v>7</v>
      </c>
      <c r="D269" t="s">
        <v>39</v>
      </c>
      <c r="E269" t="s">
        <v>116</v>
      </c>
      <c r="G269" s="3">
        <v>1.2</v>
      </c>
      <c r="H269">
        <v>7040</v>
      </c>
      <c r="I269">
        <v>2955</v>
      </c>
      <c r="J269">
        <v>1</v>
      </c>
      <c r="K269">
        <v>3230</v>
      </c>
      <c r="L269" s="2">
        <v>188000</v>
      </c>
      <c r="M269" s="2">
        <v>790000</v>
      </c>
      <c r="N269">
        <v>1</v>
      </c>
      <c r="O269">
        <v>0.7</v>
      </c>
      <c r="P269" t="s">
        <v>19</v>
      </c>
      <c r="Q269" t="s">
        <v>19</v>
      </c>
      <c r="R269" s="2">
        <f>Table4[[#This Row],[total_followers]]/(Table4[[#This Row],[total_time_streamed]] / 60)</f>
        <v>3492.2600619195046</v>
      </c>
      <c r="S269" t="str">
        <f>IF(Table4[[#This Row],[avg_games_per_stream]] &gt; 2, "Variety", "Focused")</f>
        <v>Focused</v>
      </c>
      <c r="T269" s="4">
        <f>Table4[[#This Row],[avg_viewers_per_stream]] / Table4[[#This Row],[total_followers]]</f>
        <v>1.5718085106382979E-2</v>
      </c>
    </row>
    <row r="270" spans="1:20">
      <c r="A270">
        <v>270</v>
      </c>
      <c r="B270" t="s">
        <v>408</v>
      </c>
      <c r="C270" t="s">
        <v>229</v>
      </c>
      <c r="D270" t="s">
        <v>39</v>
      </c>
      <c r="E270" t="s">
        <v>40</v>
      </c>
      <c r="F270" t="s">
        <v>56</v>
      </c>
      <c r="G270" s="3">
        <v>4.5999999999999996</v>
      </c>
      <c r="H270">
        <v>1802</v>
      </c>
      <c r="I270">
        <v>40222</v>
      </c>
      <c r="J270">
        <v>2.2000000000000002</v>
      </c>
      <c r="K270">
        <v>6542</v>
      </c>
      <c r="L270" s="2">
        <v>2300000</v>
      </c>
      <c r="M270" s="2">
        <v>51400000</v>
      </c>
      <c r="N270">
        <v>504</v>
      </c>
      <c r="O270">
        <v>4.0999999999999996</v>
      </c>
      <c r="P270" t="s">
        <v>19</v>
      </c>
      <c r="Q270" t="s">
        <v>19</v>
      </c>
      <c r="R270" s="2">
        <f>Table4[[#This Row],[total_followers]]/(Table4[[#This Row],[total_time_streamed]] / 60)</f>
        <v>21094.466523998777</v>
      </c>
      <c r="S270" t="str">
        <f>IF(Table4[[#This Row],[avg_games_per_stream]] &gt; 2, "Variety", "Focused")</f>
        <v>Variety</v>
      </c>
      <c r="T270" s="4">
        <f>Table4[[#This Row],[avg_viewers_per_stream]] / Table4[[#This Row],[total_followers]]</f>
        <v>1.7487826086956523E-2</v>
      </c>
    </row>
    <row r="271" spans="1:20">
      <c r="A271">
        <v>271</v>
      </c>
      <c r="B271" t="s">
        <v>409</v>
      </c>
      <c r="C271" t="s">
        <v>3</v>
      </c>
      <c r="D271" t="s">
        <v>39</v>
      </c>
      <c r="E271" t="s">
        <v>74</v>
      </c>
      <c r="F271" t="s">
        <v>70</v>
      </c>
      <c r="G271" s="3">
        <v>7.4</v>
      </c>
      <c r="H271">
        <v>9552</v>
      </c>
      <c r="I271">
        <v>28075</v>
      </c>
      <c r="J271">
        <v>1.3</v>
      </c>
      <c r="K271">
        <v>1247</v>
      </c>
      <c r="L271" s="2">
        <v>19000000</v>
      </c>
      <c r="M271" s="2">
        <v>572000000</v>
      </c>
      <c r="N271">
        <v>70</v>
      </c>
      <c r="O271">
        <v>4.0999999999999996</v>
      </c>
      <c r="P271" t="s">
        <v>20</v>
      </c>
      <c r="Q271" t="s">
        <v>14</v>
      </c>
      <c r="R271" s="2">
        <f>Table4[[#This Row],[total_followers]]/(Table4[[#This Row],[total_time_streamed]] / 60)</f>
        <v>914194.06575781864</v>
      </c>
      <c r="S271" t="str">
        <f>IF(Table4[[#This Row],[avg_games_per_stream]] &gt; 2, "Variety", "Focused")</f>
        <v>Focused</v>
      </c>
      <c r="T271" s="4">
        <f>Table4[[#This Row],[avg_viewers_per_stream]] / Table4[[#This Row],[total_followers]]</f>
        <v>1.4776315789473684E-3</v>
      </c>
    </row>
    <row r="272" spans="1:20">
      <c r="A272">
        <v>272</v>
      </c>
      <c r="B272" t="s">
        <v>410</v>
      </c>
      <c r="C272" t="s">
        <v>3</v>
      </c>
      <c r="D272" t="s">
        <v>39</v>
      </c>
      <c r="E272" t="s">
        <v>224</v>
      </c>
      <c r="F272" t="s">
        <v>411</v>
      </c>
      <c r="G272" s="3">
        <v>8.3000000000000007</v>
      </c>
      <c r="H272">
        <v>1870</v>
      </c>
      <c r="I272">
        <v>11272</v>
      </c>
      <c r="J272">
        <v>1.6</v>
      </c>
      <c r="K272">
        <v>21939</v>
      </c>
      <c r="L272" s="2">
        <v>644000</v>
      </c>
      <c r="M272" s="2">
        <v>38400000</v>
      </c>
      <c r="N272">
        <v>557</v>
      </c>
      <c r="O272">
        <v>6.7</v>
      </c>
      <c r="P272" t="s">
        <v>19</v>
      </c>
      <c r="Q272" t="s">
        <v>14</v>
      </c>
      <c r="R272" s="2">
        <f>Table4[[#This Row],[total_followers]]/(Table4[[#This Row],[total_time_streamed]] / 60)</f>
        <v>1761.2470942157802</v>
      </c>
      <c r="S272" t="str">
        <f>IF(Table4[[#This Row],[avg_games_per_stream]] &gt; 2, "Variety", "Focused")</f>
        <v>Focused</v>
      </c>
      <c r="T272" s="4">
        <f>Table4[[#This Row],[avg_viewers_per_stream]] / Table4[[#This Row],[total_followers]]</f>
        <v>1.7503105590062112E-2</v>
      </c>
    </row>
    <row r="273" spans="1:20">
      <c r="A273">
        <v>273</v>
      </c>
      <c r="B273" t="s">
        <v>412</v>
      </c>
      <c r="C273" t="s">
        <v>63</v>
      </c>
      <c r="D273" t="s">
        <v>39</v>
      </c>
      <c r="E273" t="s">
        <v>56</v>
      </c>
      <c r="F273" t="s">
        <v>64</v>
      </c>
      <c r="G273" s="3">
        <v>8.4</v>
      </c>
      <c r="H273">
        <v>3370</v>
      </c>
      <c r="I273">
        <v>45839</v>
      </c>
      <c r="J273">
        <v>1</v>
      </c>
      <c r="K273">
        <v>11451</v>
      </c>
      <c r="L273" s="2">
        <v>334000</v>
      </c>
      <c r="M273" s="2">
        <v>58100000</v>
      </c>
      <c r="N273">
        <v>4</v>
      </c>
      <c r="O273">
        <v>2.5</v>
      </c>
      <c r="P273" t="s">
        <v>19</v>
      </c>
      <c r="Q273" t="s">
        <v>14</v>
      </c>
      <c r="R273" s="2">
        <f>Table4[[#This Row],[total_followers]]/(Table4[[#This Row],[total_time_streamed]] / 60)</f>
        <v>1750.065496463191</v>
      </c>
      <c r="S273" t="str">
        <f>IF(Table4[[#This Row],[avg_games_per_stream]] &gt; 2, "Variety", "Focused")</f>
        <v>Focused</v>
      </c>
      <c r="T273" s="4">
        <f>Table4[[#This Row],[avg_viewers_per_stream]] / Table4[[#This Row],[total_followers]]</f>
        <v>0.13724251497005988</v>
      </c>
    </row>
    <row r="274" spans="1:20">
      <c r="A274">
        <v>274</v>
      </c>
      <c r="B274" t="s">
        <v>413</v>
      </c>
      <c r="C274" t="s">
        <v>63</v>
      </c>
      <c r="D274" t="s">
        <v>39</v>
      </c>
      <c r="E274" t="s">
        <v>40</v>
      </c>
      <c r="F274" t="s">
        <v>85</v>
      </c>
      <c r="G274" s="3">
        <v>2.7</v>
      </c>
      <c r="H274">
        <v>2097</v>
      </c>
      <c r="I274">
        <v>14381</v>
      </c>
      <c r="J274">
        <v>1.1000000000000001</v>
      </c>
      <c r="K274">
        <v>227</v>
      </c>
      <c r="L274" s="2">
        <v>1790000</v>
      </c>
      <c r="M274" s="2">
        <v>12300000</v>
      </c>
      <c r="N274">
        <v>29</v>
      </c>
      <c r="O274">
        <v>4.0999999999999996</v>
      </c>
      <c r="P274" t="s">
        <v>14</v>
      </c>
      <c r="Q274" t="s">
        <v>14</v>
      </c>
      <c r="R274" s="2">
        <f>Table4[[#This Row],[total_followers]]/(Table4[[#This Row],[total_time_streamed]] / 60)</f>
        <v>473127.7533039648</v>
      </c>
      <c r="S274" t="str">
        <f>IF(Table4[[#This Row],[avg_games_per_stream]] &gt; 2, "Variety", "Focused")</f>
        <v>Focused</v>
      </c>
      <c r="T274" s="4">
        <f>Table4[[#This Row],[avg_viewers_per_stream]] / Table4[[#This Row],[total_followers]]</f>
        <v>8.0340782122905029E-3</v>
      </c>
    </row>
    <row r="275" spans="1:20">
      <c r="A275">
        <v>275</v>
      </c>
      <c r="B275" t="s">
        <v>414</v>
      </c>
      <c r="C275" t="s">
        <v>91</v>
      </c>
      <c r="D275" t="s">
        <v>39</v>
      </c>
      <c r="E275" t="s">
        <v>40</v>
      </c>
      <c r="F275" t="s">
        <v>41</v>
      </c>
      <c r="G275" s="3">
        <v>3.2</v>
      </c>
      <c r="H275">
        <v>9910</v>
      </c>
      <c r="I275">
        <v>0</v>
      </c>
      <c r="J275">
        <v>1.2</v>
      </c>
      <c r="K275">
        <v>125</v>
      </c>
      <c r="L275" s="2">
        <v>380000</v>
      </c>
      <c r="M275" s="2">
        <v>0</v>
      </c>
      <c r="N275">
        <v>21</v>
      </c>
      <c r="O275">
        <v>4.4000000000000004</v>
      </c>
      <c r="P275" t="s">
        <v>17</v>
      </c>
      <c r="Q275" t="s">
        <v>15</v>
      </c>
      <c r="R275" s="2">
        <f>Table4[[#This Row],[total_followers]]/(Table4[[#This Row],[total_time_streamed]] / 60)</f>
        <v>182400</v>
      </c>
      <c r="S275" t="str">
        <f>IF(Table4[[#This Row],[avg_games_per_stream]] &gt; 2, "Variety", "Focused")</f>
        <v>Focused</v>
      </c>
      <c r="T275" s="4">
        <f>Table4[[#This Row],[avg_viewers_per_stream]] / Table4[[#This Row],[total_followers]]</f>
        <v>0</v>
      </c>
    </row>
    <row r="276" spans="1:20">
      <c r="A276">
        <v>276</v>
      </c>
      <c r="B276" t="s">
        <v>415</v>
      </c>
      <c r="C276" t="s">
        <v>4</v>
      </c>
      <c r="D276" t="s">
        <v>39</v>
      </c>
      <c r="E276" t="s">
        <v>74</v>
      </c>
      <c r="F276" t="s">
        <v>117</v>
      </c>
      <c r="G276" s="3">
        <v>3.3</v>
      </c>
      <c r="H276">
        <v>1249</v>
      </c>
      <c r="I276">
        <v>23308</v>
      </c>
      <c r="J276">
        <v>1.3</v>
      </c>
      <c r="K276">
        <v>5450</v>
      </c>
      <c r="L276" s="2">
        <v>1960000</v>
      </c>
      <c r="M276" s="2">
        <v>3670000</v>
      </c>
      <c r="N276">
        <v>42</v>
      </c>
      <c r="O276">
        <v>0.5</v>
      </c>
      <c r="P276" t="s">
        <v>14</v>
      </c>
      <c r="Q276" t="s">
        <v>15</v>
      </c>
      <c r="R276" s="2">
        <f>Table4[[#This Row],[total_followers]]/(Table4[[#This Row],[total_time_streamed]] / 60)</f>
        <v>21577.981651376147</v>
      </c>
      <c r="S276" t="str">
        <f>IF(Table4[[#This Row],[avg_games_per_stream]] &gt; 2, "Variety", "Focused")</f>
        <v>Focused</v>
      </c>
      <c r="T276" s="4">
        <f>Table4[[#This Row],[avg_viewers_per_stream]] / Table4[[#This Row],[total_followers]]</f>
        <v>1.1891836734693878E-2</v>
      </c>
    </row>
    <row r="277" spans="1:20">
      <c r="A277">
        <v>277</v>
      </c>
      <c r="B277" t="s">
        <v>416</v>
      </c>
      <c r="C277" t="s">
        <v>5</v>
      </c>
      <c r="D277" t="s">
        <v>39</v>
      </c>
      <c r="E277" t="s">
        <v>66</v>
      </c>
      <c r="F277" t="s">
        <v>12</v>
      </c>
      <c r="G277" s="3">
        <v>6.4</v>
      </c>
      <c r="H277">
        <v>3220</v>
      </c>
      <c r="I277">
        <v>0</v>
      </c>
      <c r="J277">
        <v>1</v>
      </c>
      <c r="K277">
        <v>2511</v>
      </c>
      <c r="L277" s="2">
        <v>136000</v>
      </c>
      <c r="M277" s="2">
        <v>8</v>
      </c>
      <c r="N277">
        <v>7</v>
      </c>
      <c r="O277">
        <v>4.9000000000000004</v>
      </c>
      <c r="P277" t="s">
        <v>14</v>
      </c>
      <c r="Q277" t="s">
        <v>14</v>
      </c>
      <c r="R277" s="2">
        <f>Table4[[#This Row],[total_followers]]/(Table4[[#This Row],[total_time_streamed]] / 60)</f>
        <v>3249.7013142174433</v>
      </c>
      <c r="S277" t="str">
        <f>IF(Table4[[#This Row],[avg_games_per_stream]] &gt; 2, "Variety", "Focused")</f>
        <v>Focused</v>
      </c>
      <c r="T277" s="4">
        <f>Table4[[#This Row],[avg_viewers_per_stream]] / Table4[[#This Row],[total_followers]]</f>
        <v>0</v>
      </c>
    </row>
    <row r="278" spans="1:20">
      <c r="A278">
        <v>278</v>
      </c>
      <c r="B278" t="s">
        <v>417</v>
      </c>
      <c r="C278" t="s">
        <v>3</v>
      </c>
      <c r="D278" t="s">
        <v>39</v>
      </c>
      <c r="E278" t="s">
        <v>40</v>
      </c>
      <c r="F278" t="s">
        <v>347</v>
      </c>
      <c r="G278" s="3">
        <v>2.7</v>
      </c>
      <c r="H278">
        <v>1602</v>
      </c>
      <c r="I278">
        <v>1003</v>
      </c>
      <c r="J278">
        <v>1.6</v>
      </c>
      <c r="K278">
        <v>2173</v>
      </c>
      <c r="L278" s="2">
        <v>873000</v>
      </c>
      <c r="M278" s="2">
        <v>547000</v>
      </c>
      <c r="N278">
        <v>146</v>
      </c>
      <c r="O278">
        <v>4.9000000000000004</v>
      </c>
      <c r="P278" t="s">
        <v>14</v>
      </c>
      <c r="Q278" t="s">
        <v>15</v>
      </c>
      <c r="R278" s="2">
        <f>Table4[[#This Row],[total_followers]]/(Table4[[#This Row],[total_time_streamed]] / 60)</f>
        <v>24104.924068108605</v>
      </c>
      <c r="S278" t="str">
        <f>IF(Table4[[#This Row],[avg_games_per_stream]] &gt; 2, "Variety", "Focused")</f>
        <v>Focused</v>
      </c>
      <c r="T278" s="4">
        <f>Table4[[#This Row],[avg_viewers_per_stream]] / Table4[[#This Row],[total_followers]]</f>
        <v>1.1489117983963346E-3</v>
      </c>
    </row>
    <row r="279" spans="1:20">
      <c r="A279">
        <v>279</v>
      </c>
      <c r="B279" t="s">
        <v>418</v>
      </c>
      <c r="C279" t="s">
        <v>63</v>
      </c>
      <c r="D279" t="s">
        <v>39</v>
      </c>
      <c r="E279" t="s">
        <v>64</v>
      </c>
      <c r="F279" t="s">
        <v>419</v>
      </c>
      <c r="G279" s="3">
        <v>3.8</v>
      </c>
      <c r="H279">
        <v>1135</v>
      </c>
      <c r="I279">
        <v>27591</v>
      </c>
      <c r="J279">
        <v>1</v>
      </c>
      <c r="K279">
        <v>1202</v>
      </c>
      <c r="L279" s="2">
        <v>386000</v>
      </c>
      <c r="M279" s="2">
        <v>9270000</v>
      </c>
      <c r="N279">
        <v>11</v>
      </c>
      <c r="O279">
        <v>0.8</v>
      </c>
      <c r="P279" t="s">
        <v>20</v>
      </c>
      <c r="Q279" t="s">
        <v>17</v>
      </c>
      <c r="R279" s="2">
        <f>Table4[[#This Row],[total_followers]]/(Table4[[#This Row],[total_time_streamed]] / 60)</f>
        <v>19267.886855241264</v>
      </c>
      <c r="S279" t="str">
        <f>IF(Table4[[#This Row],[avg_games_per_stream]] &gt; 2, "Variety", "Focused")</f>
        <v>Focused</v>
      </c>
      <c r="T279" s="4">
        <f>Table4[[#This Row],[avg_viewers_per_stream]] / Table4[[#This Row],[total_followers]]</f>
        <v>7.1479274611398969E-2</v>
      </c>
    </row>
    <row r="280" spans="1:20">
      <c r="A280">
        <v>280</v>
      </c>
      <c r="B280" t="s">
        <v>420</v>
      </c>
      <c r="C280" t="s">
        <v>3</v>
      </c>
      <c r="D280" t="s">
        <v>39</v>
      </c>
      <c r="E280" t="s">
        <v>421</v>
      </c>
      <c r="F280" t="s">
        <v>422</v>
      </c>
      <c r="G280" s="3">
        <v>9.3000000000000007</v>
      </c>
      <c r="H280">
        <v>490</v>
      </c>
      <c r="I280">
        <v>4404</v>
      </c>
      <c r="J280">
        <v>1.7</v>
      </c>
      <c r="K280">
        <v>24527</v>
      </c>
      <c r="L280" s="2">
        <v>214000</v>
      </c>
      <c r="M280" s="2">
        <v>19200000</v>
      </c>
      <c r="N280">
        <v>515</v>
      </c>
      <c r="O280">
        <v>6.7</v>
      </c>
      <c r="P280" t="s">
        <v>18</v>
      </c>
      <c r="Q280" t="s">
        <v>19</v>
      </c>
      <c r="R280" s="2">
        <f>Table4[[#This Row],[total_followers]]/(Table4[[#This Row],[total_time_streamed]] / 60)</f>
        <v>523.50470909609817</v>
      </c>
      <c r="S280" t="str">
        <f>IF(Table4[[#This Row],[avg_games_per_stream]] &gt; 2, "Variety", "Focused")</f>
        <v>Focused</v>
      </c>
      <c r="T280" s="4">
        <f>Table4[[#This Row],[avg_viewers_per_stream]] / Table4[[#This Row],[total_followers]]</f>
        <v>2.0579439252336448E-2</v>
      </c>
    </row>
    <row r="281" spans="1:20">
      <c r="A281">
        <v>281</v>
      </c>
      <c r="B281" t="s">
        <v>423</v>
      </c>
      <c r="C281" t="s">
        <v>63</v>
      </c>
      <c r="D281" t="s">
        <v>39</v>
      </c>
      <c r="E281" t="s">
        <v>40</v>
      </c>
      <c r="F281" t="s">
        <v>51</v>
      </c>
      <c r="G281" s="3">
        <v>3.8</v>
      </c>
      <c r="H281">
        <v>4850</v>
      </c>
      <c r="I281">
        <v>3008</v>
      </c>
      <c r="J281">
        <v>2.1</v>
      </c>
      <c r="K281">
        <v>3857</v>
      </c>
      <c r="L281" s="2">
        <v>503000</v>
      </c>
      <c r="M281" s="2">
        <v>3360000</v>
      </c>
      <c r="N281">
        <v>311</v>
      </c>
      <c r="O281">
        <v>2.6</v>
      </c>
      <c r="P281" t="s">
        <v>14</v>
      </c>
      <c r="Q281" t="s">
        <v>18</v>
      </c>
      <c r="R281" s="2">
        <f>Table4[[#This Row],[total_followers]]/(Table4[[#This Row],[total_time_streamed]] / 60)</f>
        <v>7824.7342494166451</v>
      </c>
      <c r="S281" t="str">
        <f>IF(Table4[[#This Row],[avg_games_per_stream]] &gt; 2, "Variety", "Focused")</f>
        <v>Variety</v>
      </c>
      <c r="T281" s="4">
        <f>Table4[[#This Row],[avg_viewers_per_stream]] / Table4[[#This Row],[total_followers]]</f>
        <v>5.9801192842942347E-3</v>
      </c>
    </row>
    <row r="282" spans="1:20">
      <c r="A282">
        <v>282</v>
      </c>
      <c r="B282" t="s">
        <v>424</v>
      </c>
      <c r="C282" t="s">
        <v>7</v>
      </c>
      <c r="D282" t="s">
        <v>39</v>
      </c>
      <c r="E282" t="s">
        <v>104</v>
      </c>
      <c r="F282" t="s">
        <v>104</v>
      </c>
      <c r="G282" s="3">
        <v>2.5</v>
      </c>
      <c r="H282">
        <v>210</v>
      </c>
      <c r="I282">
        <v>530</v>
      </c>
      <c r="J282">
        <v>1</v>
      </c>
      <c r="K282">
        <v>1422</v>
      </c>
      <c r="L282" s="2">
        <v>14400</v>
      </c>
      <c r="M282" s="2">
        <v>36700</v>
      </c>
      <c r="N282">
        <v>11</v>
      </c>
      <c r="O282">
        <v>2.2999999999999998</v>
      </c>
      <c r="P282" t="s">
        <v>17</v>
      </c>
      <c r="Q282" t="s">
        <v>16</v>
      </c>
      <c r="R282" s="2">
        <f>Table4[[#This Row],[total_followers]]/(Table4[[#This Row],[total_time_streamed]] / 60)</f>
        <v>607.59493670886081</v>
      </c>
      <c r="S282" t="str">
        <f>IF(Table4[[#This Row],[avg_games_per_stream]] &gt; 2, "Variety", "Focused")</f>
        <v>Focused</v>
      </c>
      <c r="T282" s="4">
        <f>Table4[[#This Row],[avg_viewers_per_stream]] / Table4[[#This Row],[total_followers]]</f>
        <v>3.6805555555555557E-2</v>
      </c>
    </row>
    <row r="283" spans="1:20">
      <c r="A283">
        <v>283</v>
      </c>
      <c r="B283" t="s">
        <v>425</v>
      </c>
      <c r="C283" t="s">
        <v>63</v>
      </c>
      <c r="D283" t="s">
        <v>39</v>
      </c>
      <c r="E283" t="s">
        <v>40</v>
      </c>
      <c r="F283" t="s">
        <v>66</v>
      </c>
      <c r="G283" s="3">
        <v>3.3</v>
      </c>
      <c r="H283">
        <v>1970</v>
      </c>
      <c r="I283">
        <v>1876</v>
      </c>
      <c r="J283">
        <v>1.5</v>
      </c>
      <c r="K283">
        <v>3435</v>
      </c>
      <c r="L283" s="2">
        <v>213000</v>
      </c>
      <c r="M283" s="2">
        <v>2029999</v>
      </c>
      <c r="N283">
        <v>23</v>
      </c>
      <c r="O283">
        <v>4</v>
      </c>
      <c r="P283" t="s">
        <v>18</v>
      </c>
      <c r="Q283" t="s">
        <v>17</v>
      </c>
      <c r="R283" s="2">
        <f>Table4[[#This Row],[total_followers]]/(Table4[[#This Row],[total_time_streamed]] / 60)</f>
        <v>3720.524017467249</v>
      </c>
      <c r="S283" t="str">
        <f>IF(Table4[[#This Row],[avg_games_per_stream]] &gt; 2, "Variety", "Focused")</f>
        <v>Focused</v>
      </c>
      <c r="T283" s="4">
        <f>Table4[[#This Row],[avg_viewers_per_stream]] / Table4[[#This Row],[total_followers]]</f>
        <v>8.8075117370892027E-3</v>
      </c>
    </row>
    <row r="284" spans="1:20">
      <c r="A284">
        <v>284</v>
      </c>
      <c r="B284" t="s">
        <v>426</v>
      </c>
      <c r="C284" t="s">
        <v>3</v>
      </c>
      <c r="D284" t="s">
        <v>39</v>
      </c>
      <c r="E284" t="s">
        <v>66</v>
      </c>
      <c r="F284" t="s">
        <v>427</v>
      </c>
      <c r="G284" s="3">
        <v>5.4</v>
      </c>
      <c r="H284">
        <v>1320</v>
      </c>
      <c r="I284">
        <v>4750</v>
      </c>
      <c r="J284">
        <v>1.1000000000000001</v>
      </c>
      <c r="K284">
        <v>436</v>
      </c>
      <c r="L284" s="2">
        <v>92600</v>
      </c>
      <c r="M284" s="2">
        <v>332000</v>
      </c>
      <c r="N284">
        <v>24</v>
      </c>
      <c r="O284">
        <v>4.5</v>
      </c>
      <c r="P284" t="s">
        <v>17</v>
      </c>
      <c r="Q284" t="s">
        <v>14</v>
      </c>
      <c r="R284" s="2">
        <f>Table4[[#This Row],[total_followers]]/(Table4[[#This Row],[total_time_streamed]] / 60)</f>
        <v>12743.119266055046</v>
      </c>
      <c r="S284" t="str">
        <f>IF(Table4[[#This Row],[avg_games_per_stream]] &gt; 2, "Variety", "Focused")</f>
        <v>Focused</v>
      </c>
      <c r="T284" s="4">
        <f>Table4[[#This Row],[avg_viewers_per_stream]] / Table4[[#This Row],[total_followers]]</f>
        <v>5.129589632829374E-2</v>
      </c>
    </row>
    <row r="285" spans="1:20">
      <c r="A285">
        <v>285</v>
      </c>
      <c r="B285" t="s">
        <v>428</v>
      </c>
      <c r="C285" t="s">
        <v>3</v>
      </c>
      <c r="D285" t="s">
        <v>58</v>
      </c>
      <c r="E285" t="s">
        <v>284</v>
      </c>
      <c r="F285" t="s">
        <v>429</v>
      </c>
      <c r="G285" s="3">
        <v>4.9000000000000004</v>
      </c>
      <c r="H285">
        <v>4700</v>
      </c>
      <c r="I285">
        <v>129772</v>
      </c>
      <c r="J285">
        <v>1</v>
      </c>
      <c r="K285">
        <v>1076</v>
      </c>
      <c r="L285" s="2">
        <v>1150000</v>
      </c>
      <c r="M285" s="2">
        <v>348000000</v>
      </c>
      <c r="N285">
        <v>7</v>
      </c>
      <c r="O285">
        <v>4.9000000000000004</v>
      </c>
      <c r="P285" t="s">
        <v>17</v>
      </c>
      <c r="Q285" t="s">
        <v>14</v>
      </c>
      <c r="R285" s="2">
        <f>Table4[[#This Row],[total_followers]]/(Table4[[#This Row],[total_time_streamed]] / 60)</f>
        <v>64126.394052044612</v>
      </c>
      <c r="S285" t="str">
        <f>IF(Table4[[#This Row],[avg_games_per_stream]] &gt; 2, "Variety", "Focused")</f>
        <v>Focused</v>
      </c>
      <c r="T285" s="4">
        <f>Table4[[#This Row],[avg_viewers_per_stream]] / Table4[[#This Row],[total_followers]]</f>
        <v>0.11284521739130435</v>
      </c>
    </row>
    <row r="286" spans="1:20">
      <c r="A286">
        <v>286</v>
      </c>
      <c r="B286" t="s">
        <v>430</v>
      </c>
      <c r="C286" t="s">
        <v>3</v>
      </c>
      <c r="D286" t="s">
        <v>39</v>
      </c>
      <c r="E286" t="s">
        <v>371</v>
      </c>
      <c r="F286" t="s">
        <v>431</v>
      </c>
      <c r="G286" s="3">
        <v>7.7</v>
      </c>
      <c r="H286">
        <v>2300</v>
      </c>
      <c r="I286">
        <v>3093</v>
      </c>
      <c r="J286">
        <v>1.6</v>
      </c>
      <c r="K286">
        <v>18497</v>
      </c>
      <c r="L286" s="2">
        <v>841000</v>
      </c>
      <c r="M286" s="2">
        <v>83500000</v>
      </c>
      <c r="N286">
        <v>542</v>
      </c>
      <c r="O286">
        <v>6.1</v>
      </c>
      <c r="P286" t="s">
        <v>16</v>
      </c>
      <c r="Q286" t="s">
        <v>18</v>
      </c>
      <c r="R286" s="2">
        <f>Table4[[#This Row],[total_followers]]/(Table4[[#This Row],[total_time_streamed]] / 60)</f>
        <v>2728.0099475590632</v>
      </c>
      <c r="S286" t="str">
        <f>IF(Table4[[#This Row],[avg_games_per_stream]] &gt; 2, "Variety", "Focused")</f>
        <v>Focused</v>
      </c>
      <c r="T286" s="4">
        <f>Table4[[#This Row],[avg_viewers_per_stream]] / Table4[[#This Row],[total_followers]]</f>
        <v>3.6777645659928655E-3</v>
      </c>
    </row>
    <row r="287" spans="1:20">
      <c r="A287">
        <v>287</v>
      </c>
      <c r="B287" t="s">
        <v>432</v>
      </c>
      <c r="C287" t="s">
        <v>61</v>
      </c>
      <c r="D287" t="s">
        <v>39</v>
      </c>
      <c r="E287" t="s">
        <v>66</v>
      </c>
      <c r="F287" t="s">
        <v>40</v>
      </c>
      <c r="G287" s="3">
        <v>6.8</v>
      </c>
      <c r="H287">
        <v>8160</v>
      </c>
      <c r="I287">
        <v>12775</v>
      </c>
      <c r="J287">
        <v>2.4</v>
      </c>
      <c r="K287">
        <v>8411</v>
      </c>
      <c r="L287" s="2">
        <v>1040000</v>
      </c>
      <c r="M287" s="2">
        <v>16300000</v>
      </c>
      <c r="N287">
        <v>146</v>
      </c>
      <c r="O287">
        <v>5.3</v>
      </c>
      <c r="P287" t="s">
        <v>19</v>
      </c>
      <c r="Q287" t="s">
        <v>14</v>
      </c>
      <c r="R287" s="2">
        <f>Table4[[#This Row],[total_followers]]/(Table4[[#This Row],[total_time_streamed]] / 60)</f>
        <v>7418.8562596599686</v>
      </c>
      <c r="S287" t="str">
        <f>IF(Table4[[#This Row],[avg_games_per_stream]] &gt; 2, "Variety", "Focused")</f>
        <v>Variety</v>
      </c>
      <c r="T287" s="4">
        <f>Table4[[#This Row],[avg_viewers_per_stream]] / Table4[[#This Row],[total_followers]]</f>
        <v>1.2283653846153847E-2</v>
      </c>
    </row>
    <row r="288" spans="1:20">
      <c r="A288">
        <v>288</v>
      </c>
      <c r="B288" t="s">
        <v>433</v>
      </c>
      <c r="C288" t="s">
        <v>3</v>
      </c>
      <c r="D288" t="s">
        <v>39</v>
      </c>
      <c r="E288" t="s">
        <v>40</v>
      </c>
      <c r="F288" t="s">
        <v>434</v>
      </c>
      <c r="G288" s="3">
        <v>5</v>
      </c>
      <c r="H288">
        <v>1816</v>
      </c>
      <c r="I288">
        <v>2200</v>
      </c>
      <c r="J288">
        <v>1.2</v>
      </c>
      <c r="K288">
        <v>1629</v>
      </c>
      <c r="L288" s="2">
        <v>543000</v>
      </c>
      <c r="M288" s="2">
        <v>66000</v>
      </c>
      <c r="N288">
        <v>33</v>
      </c>
      <c r="O288">
        <v>1.1000000000000001</v>
      </c>
      <c r="P288" t="s">
        <v>16</v>
      </c>
      <c r="Q288" t="s">
        <v>17</v>
      </c>
      <c r="R288" s="2">
        <f>Table4[[#This Row],[total_followers]]/(Table4[[#This Row],[total_time_streamed]] / 60)</f>
        <v>20000</v>
      </c>
      <c r="S288" t="str">
        <f>IF(Table4[[#This Row],[avg_games_per_stream]] &gt; 2, "Variety", "Focused")</f>
        <v>Focused</v>
      </c>
      <c r="T288" s="4">
        <f>Table4[[#This Row],[avg_viewers_per_stream]] / Table4[[#This Row],[total_followers]]</f>
        <v>4.0515653775322286E-3</v>
      </c>
    </row>
    <row r="289" spans="1:20">
      <c r="A289">
        <v>289</v>
      </c>
      <c r="B289" t="s">
        <v>435</v>
      </c>
      <c r="C289" t="s">
        <v>7</v>
      </c>
      <c r="D289" t="s">
        <v>39</v>
      </c>
      <c r="E289" t="s">
        <v>40</v>
      </c>
      <c r="F289" t="s">
        <v>51</v>
      </c>
      <c r="G289" s="3">
        <v>3.5</v>
      </c>
      <c r="H289">
        <v>3797</v>
      </c>
      <c r="I289">
        <v>5117</v>
      </c>
      <c r="J289">
        <v>1.9</v>
      </c>
      <c r="K289">
        <v>2469</v>
      </c>
      <c r="L289" s="2">
        <v>2420000</v>
      </c>
      <c r="M289" s="2">
        <v>3280000</v>
      </c>
      <c r="N289">
        <v>148</v>
      </c>
      <c r="O289">
        <v>2</v>
      </c>
      <c r="P289" t="s">
        <v>17</v>
      </c>
      <c r="Q289" t="s">
        <v>14</v>
      </c>
      <c r="R289" s="2">
        <f>Table4[[#This Row],[total_followers]]/(Table4[[#This Row],[total_time_streamed]] / 60)</f>
        <v>58809.234507897934</v>
      </c>
      <c r="S289" t="str">
        <f>IF(Table4[[#This Row],[avg_games_per_stream]] &gt; 2, "Variety", "Focused")</f>
        <v>Focused</v>
      </c>
      <c r="T289" s="4">
        <f>Table4[[#This Row],[avg_viewers_per_stream]] / Table4[[#This Row],[total_followers]]</f>
        <v>2.1144628099173555E-3</v>
      </c>
    </row>
    <row r="290" spans="1:20">
      <c r="A290">
        <v>290</v>
      </c>
      <c r="B290" t="s">
        <v>436</v>
      </c>
      <c r="C290" t="s">
        <v>4</v>
      </c>
      <c r="D290" t="s">
        <v>39</v>
      </c>
      <c r="E290" t="s">
        <v>74</v>
      </c>
      <c r="F290" t="s">
        <v>46</v>
      </c>
      <c r="G290" s="3">
        <v>4.5999999999999996</v>
      </c>
      <c r="H290">
        <v>1806</v>
      </c>
      <c r="I290">
        <v>31321</v>
      </c>
      <c r="J290">
        <v>1.8</v>
      </c>
      <c r="K290">
        <v>4603</v>
      </c>
      <c r="L290" s="2">
        <v>1810000</v>
      </c>
      <c r="M290" s="2">
        <v>31700000</v>
      </c>
      <c r="N290">
        <v>185</v>
      </c>
      <c r="O290">
        <v>2.6</v>
      </c>
      <c r="P290" t="s">
        <v>20</v>
      </c>
      <c r="Q290" t="s">
        <v>14</v>
      </c>
      <c r="R290" s="2">
        <f>Table4[[#This Row],[total_followers]]/(Table4[[#This Row],[total_time_streamed]] / 60)</f>
        <v>23593.308711709753</v>
      </c>
      <c r="S290" t="str">
        <f>IF(Table4[[#This Row],[avg_games_per_stream]] &gt; 2, "Variety", "Focused")</f>
        <v>Focused</v>
      </c>
      <c r="T290" s="4">
        <f>Table4[[#This Row],[avg_viewers_per_stream]] / Table4[[#This Row],[total_followers]]</f>
        <v>1.7304419889502761E-2</v>
      </c>
    </row>
    <row r="291" spans="1:20">
      <c r="A291">
        <v>291</v>
      </c>
      <c r="B291" t="s">
        <v>437</v>
      </c>
      <c r="C291" t="s">
        <v>3</v>
      </c>
      <c r="D291" t="s">
        <v>39</v>
      </c>
      <c r="E291" t="s">
        <v>56</v>
      </c>
      <c r="F291" t="s">
        <v>68</v>
      </c>
      <c r="G291" s="3">
        <v>2.1</v>
      </c>
      <c r="H291">
        <v>6070</v>
      </c>
      <c r="I291">
        <v>261664</v>
      </c>
      <c r="J291">
        <v>1</v>
      </c>
      <c r="K291">
        <v>1030</v>
      </c>
      <c r="L291" s="2">
        <v>20400</v>
      </c>
      <c r="M291" s="2">
        <v>8640000</v>
      </c>
      <c r="N291">
        <v>15</v>
      </c>
      <c r="O291">
        <v>0.3</v>
      </c>
      <c r="P291" t="s">
        <v>18</v>
      </c>
      <c r="Q291" t="s">
        <v>20</v>
      </c>
      <c r="R291" s="2">
        <f>Table4[[#This Row],[total_followers]]/(Table4[[#This Row],[total_time_streamed]] / 60)</f>
        <v>1188.3495145631068</v>
      </c>
      <c r="S291" t="str">
        <f>IF(Table4[[#This Row],[avg_games_per_stream]] &gt; 2, "Variety", "Focused")</f>
        <v>Focused</v>
      </c>
      <c r="T291" s="4">
        <f>Table4[[#This Row],[avg_viewers_per_stream]] / Table4[[#This Row],[total_followers]]</f>
        <v>12.826666666666666</v>
      </c>
    </row>
    <row r="292" spans="1:20">
      <c r="A292">
        <v>292</v>
      </c>
      <c r="B292" t="s">
        <v>438</v>
      </c>
      <c r="C292" t="s">
        <v>3</v>
      </c>
      <c r="D292" t="s">
        <v>39</v>
      </c>
      <c r="E292" t="s">
        <v>371</v>
      </c>
      <c r="F292" t="s">
        <v>74</v>
      </c>
      <c r="G292" s="3">
        <v>4.9000000000000004</v>
      </c>
      <c r="H292">
        <v>1820</v>
      </c>
      <c r="I292">
        <v>8940</v>
      </c>
      <c r="J292">
        <v>1</v>
      </c>
      <c r="K292">
        <v>6266</v>
      </c>
      <c r="L292" s="2">
        <v>235000</v>
      </c>
      <c r="M292" s="2">
        <v>1160000</v>
      </c>
      <c r="N292">
        <v>37</v>
      </c>
      <c r="O292">
        <v>4</v>
      </c>
      <c r="P292" t="s">
        <v>19</v>
      </c>
      <c r="Q292" t="s">
        <v>16</v>
      </c>
      <c r="R292" s="2">
        <f>Table4[[#This Row],[total_followers]]/(Table4[[#This Row],[total_time_streamed]] / 60)</f>
        <v>2250.2393871688478</v>
      </c>
      <c r="S292" t="str">
        <f>IF(Table4[[#This Row],[avg_games_per_stream]] &gt; 2, "Variety", "Focused")</f>
        <v>Focused</v>
      </c>
      <c r="T292" s="4">
        <f>Table4[[#This Row],[avg_viewers_per_stream]] / Table4[[#This Row],[total_followers]]</f>
        <v>3.8042553191489359E-2</v>
      </c>
    </row>
    <row r="293" spans="1:20">
      <c r="A293">
        <v>293</v>
      </c>
      <c r="B293" t="s">
        <v>439</v>
      </c>
      <c r="C293" t="s">
        <v>4</v>
      </c>
      <c r="D293" t="s">
        <v>39</v>
      </c>
      <c r="E293" t="s">
        <v>40</v>
      </c>
      <c r="F293" t="s">
        <v>54</v>
      </c>
      <c r="G293" s="3">
        <v>3.6</v>
      </c>
      <c r="H293">
        <v>8840</v>
      </c>
      <c r="I293">
        <v>11797</v>
      </c>
      <c r="J293">
        <v>1.1000000000000001</v>
      </c>
      <c r="K293">
        <v>2678</v>
      </c>
      <c r="L293" s="2">
        <v>779000</v>
      </c>
      <c r="M293" s="2">
        <v>9950000</v>
      </c>
      <c r="N293">
        <v>42</v>
      </c>
      <c r="O293">
        <v>4.2</v>
      </c>
      <c r="P293" t="s">
        <v>16</v>
      </c>
      <c r="Q293" t="s">
        <v>15</v>
      </c>
      <c r="R293" s="2">
        <f>Table4[[#This Row],[total_followers]]/(Table4[[#This Row],[total_time_streamed]] / 60)</f>
        <v>17453.323375653472</v>
      </c>
      <c r="S293" t="str">
        <f>IF(Table4[[#This Row],[avg_games_per_stream]] &gt; 2, "Variety", "Focused")</f>
        <v>Focused</v>
      </c>
      <c r="T293" s="4">
        <f>Table4[[#This Row],[avg_viewers_per_stream]] / Table4[[#This Row],[total_followers]]</f>
        <v>1.5143774069319641E-2</v>
      </c>
    </row>
    <row r="294" spans="1:20">
      <c r="A294">
        <v>294</v>
      </c>
      <c r="B294" t="s">
        <v>440</v>
      </c>
      <c r="C294" t="s">
        <v>5</v>
      </c>
      <c r="D294" t="s">
        <v>39</v>
      </c>
      <c r="E294" t="s">
        <v>96</v>
      </c>
      <c r="F294" t="s">
        <v>441</v>
      </c>
      <c r="G294" s="3">
        <v>5.4</v>
      </c>
      <c r="H294">
        <v>1390</v>
      </c>
      <c r="I294">
        <v>157</v>
      </c>
      <c r="J294">
        <v>1.2</v>
      </c>
      <c r="K294">
        <v>3842</v>
      </c>
      <c r="L294" s="2">
        <v>113000</v>
      </c>
      <c r="M294" s="2">
        <v>1270000</v>
      </c>
      <c r="N294">
        <v>70</v>
      </c>
      <c r="O294">
        <v>2.2000000000000002</v>
      </c>
      <c r="P294" t="s">
        <v>17</v>
      </c>
      <c r="Q294" t="s">
        <v>14</v>
      </c>
      <c r="R294" s="2">
        <f>Table4[[#This Row],[total_followers]]/(Table4[[#This Row],[total_time_streamed]] / 60)</f>
        <v>1764.7058823529412</v>
      </c>
      <c r="S294" t="str">
        <f>IF(Table4[[#This Row],[avg_games_per_stream]] &gt; 2, "Variety", "Focused")</f>
        <v>Focused</v>
      </c>
      <c r="T294" s="4">
        <f>Table4[[#This Row],[avg_viewers_per_stream]] / Table4[[#This Row],[total_followers]]</f>
        <v>1.3893805309734514E-3</v>
      </c>
    </row>
    <row r="295" spans="1:20">
      <c r="A295">
        <v>295</v>
      </c>
      <c r="B295" t="s">
        <v>442</v>
      </c>
      <c r="C295" t="s">
        <v>7</v>
      </c>
      <c r="D295" t="s">
        <v>39</v>
      </c>
      <c r="E295" t="s">
        <v>40</v>
      </c>
      <c r="F295" t="s">
        <v>443</v>
      </c>
      <c r="G295" s="3">
        <v>5.5</v>
      </c>
      <c r="H295">
        <v>5310</v>
      </c>
      <c r="I295">
        <v>140</v>
      </c>
      <c r="J295">
        <v>1</v>
      </c>
      <c r="K295">
        <v>3341</v>
      </c>
      <c r="L295" s="2">
        <v>550000</v>
      </c>
      <c r="M295" s="2">
        <v>14300</v>
      </c>
      <c r="N295">
        <v>9</v>
      </c>
      <c r="O295">
        <v>4.2</v>
      </c>
      <c r="P295" t="s">
        <v>17</v>
      </c>
      <c r="Q295" t="s">
        <v>16</v>
      </c>
      <c r="R295" s="2">
        <f>Table4[[#This Row],[total_followers]]/(Table4[[#This Row],[total_time_streamed]] / 60)</f>
        <v>9877.2822508231075</v>
      </c>
      <c r="S295" t="str">
        <f>IF(Table4[[#This Row],[avg_games_per_stream]] &gt; 2, "Variety", "Focused")</f>
        <v>Focused</v>
      </c>
      <c r="T295" s="4">
        <f>Table4[[#This Row],[avg_viewers_per_stream]] / Table4[[#This Row],[total_followers]]</f>
        <v>2.5454545454545456E-4</v>
      </c>
    </row>
    <row r="296" spans="1:20">
      <c r="A296">
        <v>296</v>
      </c>
      <c r="B296" t="s">
        <v>444</v>
      </c>
      <c r="C296" t="s">
        <v>229</v>
      </c>
      <c r="D296" t="s">
        <v>39</v>
      </c>
      <c r="E296" t="s">
        <v>56</v>
      </c>
      <c r="F296" t="s">
        <v>445</v>
      </c>
      <c r="G296" s="3">
        <v>2.7</v>
      </c>
      <c r="H296">
        <v>5090</v>
      </c>
      <c r="I296">
        <v>19624</v>
      </c>
      <c r="J296">
        <v>1.2</v>
      </c>
      <c r="K296">
        <v>1644</v>
      </c>
      <c r="L296" s="2">
        <v>311000</v>
      </c>
      <c r="M296" s="2">
        <v>12000000</v>
      </c>
      <c r="N296">
        <v>17</v>
      </c>
      <c r="O296">
        <v>1.7</v>
      </c>
      <c r="P296" t="s">
        <v>16</v>
      </c>
      <c r="Q296" t="s">
        <v>20</v>
      </c>
      <c r="R296" s="2">
        <f>Table4[[#This Row],[total_followers]]/(Table4[[#This Row],[total_time_streamed]] / 60)</f>
        <v>11350.364963503651</v>
      </c>
      <c r="S296" t="str">
        <f>IF(Table4[[#This Row],[avg_games_per_stream]] &gt; 2, "Variety", "Focused")</f>
        <v>Focused</v>
      </c>
      <c r="T296" s="4">
        <f>Table4[[#This Row],[avg_viewers_per_stream]] / Table4[[#This Row],[total_followers]]</f>
        <v>6.3099678456591646E-2</v>
      </c>
    </row>
    <row r="297" spans="1:20">
      <c r="A297">
        <v>297</v>
      </c>
      <c r="B297" t="s">
        <v>446</v>
      </c>
      <c r="C297" t="s">
        <v>91</v>
      </c>
      <c r="D297" t="s">
        <v>39</v>
      </c>
      <c r="E297" t="s">
        <v>40</v>
      </c>
      <c r="F297" t="s">
        <v>240</v>
      </c>
      <c r="G297" s="3">
        <v>5.3</v>
      </c>
      <c r="H297">
        <v>3490</v>
      </c>
      <c r="I297">
        <v>14059</v>
      </c>
      <c r="J297">
        <v>1.8</v>
      </c>
      <c r="K297">
        <v>9101</v>
      </c>
      <c r="L297" s="2">
        <v>589000</v>
      </c>
      <c r="M297" s="2">
        <v>23700000</v>
      </c>
      <c r="N297">
        <v>315</v>
      </c>
      <c r="O297">
        <v>5.4</v>
      </c>
      <c r="P297" t="s">
        <v>17</v>
      </c>
      <c r="Q297" t="s">
        <v>16</v>
      </c>
      <c r="R297" s="2">
        <f>Table4[[#This Row],[total_followers]]/(Table4[[#This Row],[total_time_streamed]] / 60)</f>
        <v>3883.0897703549058</v>
      </c>
      <c r="S297" t="str">
        <f>IF(Table4[[#This Row],[avg_games_per_stream]] &gt; 2, "Variety", "Focused")</f>
        <v>Focused</v>
      </c>
      <c r="T297" s="4">
        <f>Table4[[#This Row],[avg_viewers_per_stream]] / Table4[[#This Row],[total_followers]]</f>
        <v>2.3869269949066213E-2</v>
      </c>
    </row>
    <row r="298" spans="1:20">
      <c r="A298">
        <v>298</v>
      </c>
      <c r="B298" t="s">
        <v>447</v>
      </c>
      <c r="C298" t="s">
        <v>3</v>
      </c>
      <c r="D298" t="s">
        <v>39</v>
      </c>
      <c r="E298" t="s">
        <v>448</v>
      </c>
      <c r="F298" t="s">
        <v>449</v>
      </c>
      <c r="G298" s="3">
        <v>3.3</v>
      </c>
      <c r="H298">
        <v>4800</v>
      </c>
      <c r="I298">
        <v>6624</v>
      </c>
      <c r="J298">
        <v>1.1000000000000001</v>
      </c>
      <c r="K298">
        <v>5972</v>
      </c>
      <c r="L298" s="2">
        <v>849000</v>
      </c>
      <c r="M298" s="2">
        <v>11700000</v>
      </c>
      <c r="N298">
        <v>54</v>
      </c>
      <c r="O298">
        <v>5.2</v>
      </c>
      <c r="P298" t="s">
        <v>17</v>
      </c>
      <c r="Q298" t="s">
        <v>15</v>
      </c>
      <c r="R298" s="2">
        <f>Table4[[#This Row],[total_followers]]/(Table4[[#This Row],[total_time_streamed]] / 60)</f>
        <v>8529.8057602143344</v>
      </c>
      <c r="S298" t="str">
        <f>IF(Table4[[#This Row],[avg_games_per_stream]] &gt; 2, "Variety", "Focused")</f>
        <v>Focused</v>
      </c>
      <c r="T298" s="4">
        <f>Table4[[#This Row],[avg_viewers_per_stream]] / Table4[[#This Row],[total_followers]]</f>
        <v>7.8021201413427561E-3</v>
      </c>
    </row>
    <row r="299" spans="1:20">
      <c r="A299">
        <v>299</v>
      </c>
      <c r="B299" t="s">
        <v>450</v>
      </c>
      <c r="C299" t="s">
        <v>3</v>
      </c>
      <c r="D299" t="s">
        <v>39</v>
      </c>
      <c r="E299" t="s">
        <v>66</v>
      </c>
      <c r="F299" t="s">
        <v>40</v>
      </c>
      <c r="G299" s="3">
        <v>7</v>
      </c>
      <c r="H299">
        <v>1850</v>
      </c>
      <c r="I299">
        <v>11645</v>
      </c>
      <c r="J299">
        <v>1.3</v>
      </c>
      <c r="K299">
        <v>15728</v>
      </c>
      <c r="L299" s="2">
        <v>360000</v>
      </c>
      <c r="M299" s="2">
        <v>22600000</v>
      </c>
      <c r="N299">
        <v>173</v>
      </c>
      <c r="O299">
        <v>5.8</v>
      </c>
      <c r="P299" t="s">
        <v>20</v>
      </c>
      <c r="Q299" t="s">
        <v>14</v>
      </c>
      <c r="R299" s="2">
        <f>Table4[[#This Row],[total_followers]]/(Table4[[#This Row],[total_time_streamed]] / 60)</f>
        <v>1373.3468972533062</v>
      </c>
      <c r="S299" t="str">
        <f>IF(Table4[[#This Row],[avg_games_per_stream]] &gt; 2, "Variety", "Focused")</f>
        <v>Focused</v>
      </c>
      <c r="T299" s="4">
        <f>Table4[[#This Row],[avg_viewers_per_stream]] / Table4[[#This Row],[total_followers]]</f>
        <v>3.2347222222222222E-2</v>
      </c>
    </row>
    <row r="300" spans="1:20">
      <c r="A300">
        <v>300</v>
      </c>
      <c r="B300" t="s">
        <v>451</v>
      </c>
      <c r="C300" t="s">
        <v>3</v>
      </c>
      <c r="D300" t="s">
        <v>39</v>
      </c>
      <c r="E300" t="s">
        <v>68</v>
      </c>
      <c r="F300" t="s">
        <v>56</v>
      </c>
      <c r="G300" s="3">
        <v>5.2</v>
      </c>
      <c r="H300">
        <v>2050</v>
      </c>
      <c r="I300">
        <v>23157</v>
      </c>
      <c r="J300">
        <v>1.9</v>
      </c>
      <c r="K300">
        <v>8261</v>
      </c>
      <c r="L300" s="2">
        <v>564000</v>
      </c>
      <c r="M300" s="2">
        <v>38800000</v>
      </c>
      <c r="N300">
        <v>125</v>
      </c>
      <c r="O300">
        <v>4</v>
      </c>
      <c r="P300" t="s">
        <v>17</v>
      </c>
      <c r="Q300" t="s">
        <v>17</v>
      </c>
      <c r="R300" s="2">
        <f>Table4[[#This Row],[total_followers]]/(Table4[[#This Row],[total_time_streamed]] / 60)</f>
        <v>4096.356373320421</v>
      </c>
      <c r="S300" t="str">
        <f>IF(Table4[[#This Row],[avg_games_per_stream]] &gt; 2, "Variety", "Focused")</f>
        <v>Focused</v>
      </c>
      <c r="T300" s="4">
        <f>Table4[[#This Row],[avg_viewers_per_stream]] / Table4[[#This Row],[total_followers]]</f>
        <v>4.1058510638297872E-2</v>
      </c>
    </row>
    <row r="301" spans="1:20">
      <c r="A301">
        <v>301</v>
      </c>
      <c r="B301" t="s">
        <v>452</v>
      </c>
      <c r="C301" t="s">
        <v>3</v>
      </c>
      <c r="D301" t="s">
        <v>39</v>
      </c>
      <c r="E301" t="s">
        <v>79</v>
      </c>
      <c r="F301" t="s">
        <v>93</v>
      </c>
      <c r="G301" s="3">
        <v>6.2</v>
      </c>
      <c r="H301">
        <v>3700</v>
      </c>
      <c r="I301">
        <v>8919</v>
      </c>
      <c r="J301">
        <v>1.8</v>
      </c>
      <c r="K301">
        <v>10965</v>
      </c>
      <c r="L301" s="2">
        <v>643000</v>
      </c>
      <c r="M301" s="2">
        <v>15500000</v>
      </c>
      <c r="N301">
        <v>274</v>
      </c>
      <c r="O301">
        <v>4.7</v>
      </c>
      <c r="P301" t="s">
        <v>17</v>
      </c>
      <c r="Q301" t="s">
        <v>19</v>
      </c>
      <c r="R301" s="2">
        <f>Table4[[#This Row],[total_followers]]/(Table4[[#This Row],[total_time_streamed]] / 60)</f>
        <v>3518.4678522571821</v>
      </c>
      <c r="S301" t="str">
        <f>IF(Table4[[#This Row],[avg_games_per_stream]] &gt; 2, "Variety", "Focused")</f>
        <v>Focused</v>
      </c>
      <c r="T301" s="4">
        <f>Table4[[#This Row],[avg_viewers_per_stream]] / Table4[[#This Row],[total_followers]]</f>
        <v>1.3870917573872472E-2</v>
      </c>
    </row>
    <row r="302" spans="1:20">
      <c r="A302">
        <v>302</v>
      </c>
      <c r="B302" t="s">
        <v>453</v>
      </c>
      <c r="C302" t="s">
        <v>3</v>
      </c>
      <c r="D302" t="s">
        <v>39</v>
      </c>
      <c r="E302" t="s">
        <v>83</v>
      </c>
      <c r="F302" t="s">
        <v>54</v>
      </c>
      <c r="G302" s="3">
        <v>13.2</v>
      </c>
      <c r="H302">
        <v>1410</v>
      </c>
      <c r="I302">
        <v>3120</v>
      </c>
      <c r="J302">
        <v>3.1</v>
      </c>
      <c r="K302">
        <v>16138</v>
      </c>
      <c r="L302" s="2">
        <v>156000</v>
      </c>
      <c r="M302" s="2">
        <v>378000</v>
      </c>
      <c r="N302">
        <v>136</v>
      </c>
      <c r="O302">
        <v>5.7</v>
      </c>
      <c r="P302" t="s">
        <v>20</v>
      </c>
      <c r="Q302" t="s">
        <v>20</v>
      </c>
      <c r="R302" s="2">
        <f>Table4[[#This Row],[total_followers]]/(Table4[[#This Row],[total_time_streamed]] / 60)</f>
        <v>579.99752137811379</v>
      </c>
      <c r="S302" t="str">
        <f>IF(Table4[[#This Row],[avg_games_per_stream]] &gt; 2, "Variety", "Focused")</f>
        <v>Variety</v>
      </c>
      <c r="T302" s="4">
        <f>Table4[[#This Row],[avg_viewers_per_stream]] / Table4[[#This Row],[total_followers]]</f>
        <v>0.02</v>
      </c>
    </row>
    <row r="303" spans="1:20">
      <c r="A303">
        <v>303</v>
      </c>
      <c r="B303" t="s">
        <v>454</v>
      </c>
      <c r="C303" t="s">
        <v>3</v>
      </c>
      <c r="D303" t="s">
        <v>39</v>
      </c>
      <c r="E303" t="s">
        <v>455</v>
      </c>
      <c r="G303" s="3">
        <v>2.1</v>
      </c>
      <c r="H303">
        <v>70</v>
      </c>
      <c r="I303">
        <v>0</v>
      </c>
      <c r="J303">
        <v>1</v>
      </c>
      <c r="K303">
        <v>600</v>
      </c>
      <c r="L303" s="2">
        <v>200</v>
      </c>
      <c r="M303" s="2">
        <v>14</v>
      </c>
      <c r="N303">
        <v>1</v>
      </c>
      <c r="O303">
        <v>0.4</v>
      </c>
      <c r="P303" t="s">
        <v>14</v>
      </c>
      <c r="Q303" t="s">
        <v>15</v>
      </c>
      <c r="R303" s="2">
        <f>Table4[[#This Row],[total_followers]]/(Table4[[#This Row],[total_time_streamed]] / 60)</f>
        <v>20</v>
      </c>
      <c r="S303" t="str">
        <f>IF(Table4[[#This Row],[avg_games_per_stream]] &gt; 2, "Variety", "Focused")</f>
        <v>Focused</v>
      </c>
      <c r="T303" s="4">
        <f>Table4[[#This Row],[avg_viewers_per_stream]] / Table4[[#This Row],[total_followers]]</f>
        <v>0</v>
      </c>
    </row>
    <row r="304" spans="1:20">
      <c r="A304">
        <v>304</v>
      </c>
      <c r="B304" t="s">
        <v>456</v>
      </c>
      <c r="C304" t="s">
        <v>3</v>
      </c>
      <c r="D304" t="s">
        <v>39</v>
      </c>
      <c r="E304" t="s">
        <v>68</v>
      </c>
      <c r="F304" t="s">
        <v>93</v>
      </c>
      <c r="G304" s="3">
        <v>7</v>
      </c>
      <c r="H304">
        <v>7530</v>
      </c>
      <c r="I304">
        <v>1434</v>
      </c>
      <c r="J304">
        <v>1</v>
      </c>
      <c r="K304">
        <v>6512</v>
      </c>
      <c r="L304" s="2">
        <v>709000</v>
      </c>
      <c r="M304" s="2">
        <v>1350000</v>
      </c>
      <c r="N304">
        <v>15</v>
      </c>
      <c r="O304">
        <v>4.2</v>
      </c>
      <c r="P304" t="s">
        <v>17</v>
      </c>
      <c r="Q304" t="s">
        <v>14</v>
      </c>
      <c r="R304" s="2">
        <f>Table4[[#This Row],[total_followers]]/(Table4[[#This Row],[total_time_streamed]] / 60)</f>
        <v>6532.5552825552822</v>
      </c>
      <c r="S304" t="str">
        <f>IF(Table4[[#This Row],[avg_games_per_stream]] &gt; 2, "Variety", "Focused")</f>
        <v>Focused</v>
      </c>
      <c r="T304" s="4">
        <f>Table4[[#This Row],[avg_viewers_per_stream]] / Table4[[#This Row],[total_followers]]</f>
        <v>2.0225669957686884E-3</v>
      </c>
    </row>
    <row r="305" spans="1:20">
      <c r="A305">
        <v>305</v>
      </c>
      <c r="B305" t="s">
        <v>457</v>
      </c>
      <c r="C305" t="s">
        <v>3</v>
      </c>
      <c r="D305" t="s">
        <v>39</v>
      </c>
      <c r="E305" t="s">
        <v>109</v>
      </c>
      <c r="F305" t="s">
        <v>70</v>
      </c>
      <c r="G305" s="3">
        <v>7.2</v>
      </c>
      <c r="H305">
        <v>1810</v>
      </c>
      <c r="I305">
        <v>3961</v>
      </c>
      <c r="J305">
        <v>1.1000000000000001</v>
      </c>
      <c r="K305">
        <v>12951</v>
      </c>
      <c r="L305" s="2">
        <v>341000</v>
      </c>
      <c r="M305" s="2">
        <v>7460000</v>
      </c>
      <c r="N305">
        <v>44</v>
      </c>
      <c r="O305">
        <v>5.0999999999999996</v>
      </c>
      <c r="P305" t="s">
        <v>16</v>
      </c>
      <c r="Q305" t="s">
        <v>14</v>
      </c>
      <c r="R305" s="2">
        <f>Table4[[#This Row],[total_followers]]/(Table4[[#This Row],[total_time_streamed]] / 60)</f>
        <v>1579.8007875839703</v>
      </c>
      <c r="S305" t="str">
        <f>IF(Table4[[#This Row],[avg_games_per_stream]] &gt; 2, "Variety", "Focused")</f>
        <v>Focused</v>
      </c>
      <c r="T305" s="4">
        <f>Table4[[#This Row],[avg_viewers_per_stream]] / Table4[[#This Row],[total_followers]]</f>
        <v>1.1615835777126099E-2</v>
      </c>
    </row>
    <row r="306" spans="1:20">
      <c r="A306">
        <v>306</v>
      </c>
      <c r="B306" t="s">
        <v>458</v>
      </c>
      <c r="C306" t="s">
        <v>3</v>
      </c>
      <c r="D306" t="s">
        <v>39</v>
      </c>
      <c r="E306" t="s">
        <v>40</v>
      </c>
      <c r="F306" t="s">
        <v>51</v>
      </c>
      <c r="G306" s="3">
        <v>8.1999999999999993</v>
      </c>
      <c r="H306">
        <v>1928</v>
      </c>
      <c r="I306">
        <v>0</v>
      </c>
      <c r="J306">
        <v>2.1</v>
      </c>
      <c r="K306">
        <v>2630</v>
      </c>
      <c r="L306" s="2">
        <v>98700</v>
      </c>
      <c r="M306" s="2">
        <v>0</v>
      </c>
      <c r="N306">
        <v>23</v>
      </c>
      <c r="O306">
        <v>6.2</v>
      </c>
      <c r="P306" t="s">
        <v>19</v>
      </c>
      <c r="Q306" t="s">
        <v>14</v>
      </c>
      <c r="R306" s="2">
        <f>Table4[[#This Row],[total_followers]]/(Table4[[#This Row],[total_time_streamed]] / 60)</f>
        <v>2251.7110266159693</v>
      </c>
      <c r="S306" t="str">
        <f>IF(Table4[[#This Row],[avg_games_per_stream]] &gt; 2, "Variety", "Focused")</f>
        <v>Variety</v>
      </c>
      <c r="T306" s="4">
        <f>Table4[[#This Row],[avg_viewers_per_stream]] / Table4[[#This Row],[total_followers]]</f>
        <v>0</v>
      </c>
    </row>
    <row r="307" spans="1:20">
      <c r="A307">
        <v>307</v>
      </c>
      <c r="B307" t="s">
        <v>459</v>
      </c>
      <c r="C307" t="s">
        <v>4</v>
      </c>
      <c r="D307" t="s">
        <v>39</v>
      </c>
      <c r="E307" t="s">
        <v>40</v>
      </c>
      <c r="F307" t="s">
        <v>66</v>
      </c>
      <c r="G307" s="3">
        <v>4.3</v>
      </c>
      <c r="H307">
        <v>1121</v>
      </c>
      <c r="I307">
        <v>1050</v>
      </c>
      <c r="J307">
        <v>1.7</v>
      </c>
      <c r="K307">
        <v>2277</v>
      </c>
      <c r="L307" s="2">
        <v>560000</v>
      </c>
      <c r="M307" s="2">
        <v>52500</v>
      </c>
      <c r="N307">
        <v>36</v>
      </c>
      <c r="O307">
        <v>4.5999999999999996</v>
      </c>
      <c r="P307" t="s">
        <v>14</v>
      </c>
      <c r="Q307" t="s">
        <v>14</v>
      </c>
      <c r="R307" s="2">
        <f>Table4[[#This Row],[total_followers]]/(Table4[[#This Row],[total_time_streamed]] / 60)</f>
        <v>14756.258234519102</v>
      </c>
      <c r="S307" t="str">
        <f>IF(Table4[[#This Row],[avg_games_per_stream]] &gt; 2, "Variety", "Focused")</f>
        <v>Focused</v>
      </c>
      <c r="T307" s="4">
        <f>Table4[[#This Row],[avg_viewers_per_stream]] / Table4[[#This Row],[total_followers]]</f>
        <v>1.8749999999999999E-3</v>
      </c>
    </row>
    <row r="308" spans="1:20">
      <c r="A308">
        <v>308</v>
      </c>
      <c r="B308" t="s">
        <v>460</v>
      </c>
      <c r="C308" t="s">
        <v>5</v>
      </c>
      <c r="D308" t="s">
        <v>39</v>
      </c>
      <c r="E308" t="s">
        <v>96</v>
      </c>
      <c r="F308" t="s">
        <v>68</v>
      </c>
      <c r="G308" s="3">
        <v>4.3</v>
      </c>
      <c r="H308">
        <v>8190</v>
      </c>
      <c r="I308">
        <v>1607</v>
      </c>
      <c r="J308">
        <v>1.2</v>
      </c>
      <c r="K308">
        <v>2920</v>
      </c>
      <c r="L308" s="2">
        <v>59700</v>
      </c>
      <c r="M308" s="2">
        <v>114000</v>
      </c>
      <c r="N308">
        <v>10</v>
      </c>
      <c r="O308">
        <v>0.4</v>
      </c>
      <c r="P308" t="s">
        <v>15</v>
      </c>
      <c r="Q308" t="s">
        <v>19</v>
      </c>
      <c r="R308" s="2">
        <f>Table4[[#This Row],[total_followers]]/(Table4[[#This Row],[total_time_streamed]] / 60)</f>
        <v>1226.7123287671234</v>
      </c>
      <c r="S308" t="str">
        <f>IF(Table4[[#This Row],[avg_games_per_stream]] &gt; 2, "Variety", "Focused")</f>
        <v>Focused</v>
      </c>
      <c r="T308" s="4">
        <f>Table4[[#This Row],[avg_viewers_per_stream]] / Table4[[#This Row],[total_followers]]</f>
        <v>2.6917922948073703E-2</v>
      </c>
    </row>
    <row r="309" spans="1:20">
      <c r="A309">
        <v>309</v>
      </c>
      <c r="B309" t="s">
        <v>461</v>
      </c>
      <c r="C309" t="s">
        <v>3</v>
      </c>
      <c r="D309" t="s">
        <v>39</v>
      </c>
      <c r="E309" t="s">
        <v>46</v>
      </c>
      <c r="F309" t="s">
        <v>123</v>
      </c>
      <c r="G309" s="3">
        <v>8</v>
      </c>
      <c r="H309">
        <v>4440</v>
      </c>
      <c r="I309">
        <v>68813</v>
      </c>
      <c r="J309">
        <v>1.6</v>
      </c>
      <c r="K309">
        <v>20876</v>
      </c>
      <c r="L309" s="2">
        <v>2590000</v>
      </c>
      <c r="M309" s="2">
        <v>348000000</v>
      </c>
      <c r="N309">
        <v>173</v>
      </c>
      <c r="O309">
        <v>6.6</v>
      </c>
      <c r="P309" t="s">
        <v>17</v>
      </c>
      <c r="Q309" t="s">
        <v>20</v>
      </c>
      <c r="R309" s="2">
        <f>Table4[[#This Row],[total_followers]]/(Table4[[#This Row],[total_time_streamed]] / 60)</f>
        <v>7443.9547806093124</v>
      </c>
      <c r="S309" t="str">
        <f>IF(Table4[[#This Row],[avg_games_per_stream]] &gt; 2, "Variety", "Focused")</f>
        <v>Focused</v>
      </c>
      <c r="T309" s="4">
        <f>Table4[[#This Row],[avg_viewers_per_stream]] / Table4[[#This Row],[total_followers]]</f>
        <v>2.656872586872587E-2</v>
      </c>
    </row>
    <row r="310" spans="1:20">
      <c r="A310">
        <v>310</v>
      </c>
      <c r="B310" t="s">
        <v>462</v>
      </c>
      <c r="C310" t="s">
        <v>63</v>
      </c>
      <c r="D310" t="s">
        <v>39</v>
      </c>
      <c r="E310" t="s">
        <v>40</v>
      </c>
      <c r="F310" t="s">
        <v>463</v>
      </c>
      <c r="G310" s="3">
        <v>3</v>
      </c>
      <c r="H310">
        <v>4033</v>
      </c>
      <c r="I310">
        <v>9035</v>
      </c>
      <c r="J310">
        <v>1.9</v>
      </c>
      <c r="K310">
        <v>1233</v>
      </c>
      <c r="L310" s="2">
        <v>1680000</v>
      </c>
      <c r="M310" s="2">
        <v>3750000</v>
      </c>
      <c r="N310">
        <v>92</v>
      </c>
      <c r="O310">
        <v>2.7</v>
      </c>
      <c r="P310" t="s">
        <v>17</v>
      </c>
      <c r="Q310" t="s">
        <v>19</v>
      </c>
      <c r="R310" s="2">
        <f>Table4[[#This Row],[total_followers]]/(Table4[[#This Row],[total_time_streamed]] / 60)</f>
        <v>81751.824817518253</v>
      </c>
      <c r="S310" t="str">
        <f>IF(Table4[[#This Row],[avg_games_per_stream]] &gt; 2, "Variety", "Focused")</f>
        <v>Focused</v>
      </c>
      <c r="T310" s="4">
        <f>Table4[[#This Row],[avg_viewers_per_stream]] / Table4[[#This Row],[total_followers]]</f>
        <v>5.3779761904761908E-3</v>
      </c>
    </row>
    <row r="311" spans="1:20">
      <c r="A311">
        <v>311</v>
      </c>
      <c r="B311" t="s">
        <v>464</v>
      </c>
      <c r="C311" t="s">
        <v>63</v>
      </c>
      <c r="D311" t="s">
        <v>39</v>
      </c>
      <c r="E311" t="s">
        <v>40</v>
      </c>
      <c r="F311" t="s">
        <v>41</v>
      </c>
      <c r="G311" s="3">
        <v>3.6</v>
      </c>
      <c r="H311">
        <v>2037</v>
      </c>
      <c r="I311">
        <v>7738</v>
      </c>
      <c r="J311">
        <v>1.8</v>
      </c>
      <c r="K311">
        <v>2486</v>
      </c>
      <c r="L311" s="2">
        <v>1380000</v>
      </c>
      <c r="M311" s="2">
        <v>5220000</v>
      </c>
      <c r="N311">
        <v>194</v>
      </c>
      <c r="O311">
        <v>2.7</v>
      </c>
      <c r="P311" t="s">
        <v>19</v>
      </c>
      <c r="Q311" t="s">
        <v>14</v>
      </c>
      <c r="R311" s="2">
        <f>Table4[[#This Row],[total_followers]]/(Table4[[#This Row],[total_time_streamed]] / 60)</f>
        <v>33306.516492357201</v>
      </c>
      <c r="S311" t="str">
        <f>IF(Table4[[#This Row],[avg_games_per_stream]] &gt; 2, "Variety", "Focused")</f>
        <v>Focused</v>
      </c>
      <c r="T311" s="4">
        <f>Table4[[#This Row],[avg_viewers_per_stream]] / Table4[[#This Row],[total_followers]]</f>
        <v>5.6072463768115938E-3</v>
      </c>
    </row>
    <row r="312" spans="1:20">
      <c r="A312">
        <v>312</v>
      </c>
      <c r="B312" t="s">
        <v>465</v>
      </c>
      <c r="C312" t="s">
        <v>3</v>
      </c>
      <c r="D312" t="s">
        <v>39</v>
      </c>
      <c r="E312" t="s">
        <v>68</v>
      </c>
      <c r="F312" t="s">
        <v>466</v>
      </c>
      <c r="G312" s="3">
        <v>5.0999999999999996</v>
      </c>
      <c r="H312">
        <v>8450</v>
      </c>
      <c r="I312">
        <v>4956</v>
      </c>
      <c r="J312">
        <v>1</v>
      </c>
      <c r="K312">
        <v>6981</v>
      </c>
      <c r="L312" s="2">
        <v>1090000</v>
      </c>
      <c r="M312" s="2">
        <v>6400000</v>
      </c>
      <c r="N312">
        <v>16</v>
      </c>
      <c r="O312">
        <v>3.8</v>
      </c>
      <c r="P312" t="s">
        <v>17</v>
      </c>
      <c r="Q312" t="s">
        <v>14</v>
      </c>
      <c r="R312" s="2">
        <f>Table4[[#This Row],[total_followers]]/(Table4[[#This Row],[total_time_streamed]] / 60)</f>
        <v>9368.2853459389771</v>
      </c>
      <c r="S312" t="str">
        <f>IF(Table4[[#This Row],[avg_games_per_stream]] &gt; 2, "Variety", "Focused")</f>
        <v>Focused</v>
      </c>
      <c r="T312" s="4">
        <f>Table4[[#This Row],[avg_viewers_per_stream]] / Table4[[#This Row],[total_followers]]</f>
        <v>4.5467889908256884E-3</v>
      </c>
    </row>
    <row r="313" spans="1:20">
      <c r="A313">
        <v>313</v>
      </c>
      <c r="B313" t="s">
        <v>467</v>
      </c>
      <c r="C313" t="s">
        <v>5</v>
      </c>
      <c r="D313" t="s">
        <v>39</v>
      </c>
      <c r="E313" t="s">
        <v>54</v>
      </c>
      <c r="F313" t="s">
        <v>68</v>
      </c>
      <c r="G313" s="3">
        <v>8.1</v>
      </c>
      <c r="H313">
        <v>4230</v>
      </c>
      <c r="I313">
        <v>283</v>
      </c>
      <c r="J313">
        <v>1.1000000000000001</v>
      </c>
      <c r="K313">
        <v>8719</v>
      </c>
      <c r="L313" s="2">
        <v>465000</v>
      </c>
      <c r="M313" s="2">
        <v>3110000</v>
      </c>
      <c r="N313">
        <v>80</v>
      </c>
      <c r="O313">
        <v>5.6</v>
      </c>
      <c r="P313" t="s">
        <v>19</v>
      </c>
      <c r="Q313" t="s">
        <v>19</v>
      </c>
      <c r="R313" s="2">
        <f>Table4[[#This Row],[total_followers]]/(Table4[[#This Row],[total_time_streamed]] / 60)</f>
        <v>3199.9082463585273</v>
      </c>
      <c r="S313" t="str">
        <f>IF(Table4[[#This Row],[avg_games_per_stream]] &gt; 2, "Variety", "Focused")</f>
        <v>Focused</v>
      </c>
      <c r="T313" s="4">
        <f>Table4[[#This Row],[avg_viewers_per_stream]] / Table4[[#This Row],[total_followers]]</f>
        <v>6.0860215053763441E-4</v>
      </c>
    </row>
    <row r="314" spans="1:20">
      <c r="A314">
        <v>314</v>
      </c>
      <c r="B314" t="s">
        <v>468</v>
      </c>
      <c r="C314" t="s">
        <v>3</v>
      </c>
      <c r="D314" t="s">
        <v>39</v>
      </c>
      <c r="E314" t="s">
        <v>66</v>
      </c>
      <c r="F314" t="s">
        <v>233</v>
      </c>
      <c r="G314" s="3">
        <v>7.3</v>
      </c>
      <c r="H314">
        <v>1210</v>
      </c>
      <c r="I314">
        <v>1810</v>
      </c>
      <c r="J314">
        <v>1.2</v>
      </c>
      <c r="K314">
        <v>644</v>
      </c>
      <c r="L314" s="2">
        <v>106000</v>
      </c>
      <c r="M314" s="2">
        <v>159000</v>
      </c>
      <c r="N314">
        <v>54</v>
      </c>
      <c r="O314">
        <v>3.3</v>
      </c>
      <c r="P314" t="s">
        <v>14</v>
      </c>
      <c r="Q314" t="s">
        <v>14</v>
      </c>
      <c r="R314" s="2">
        <f>Table4[[#This Row],[total_followers]]/(Table4[[#This Row],[total_time_streamed]] / 60)</f>
        <v>9875.7763975155285</v>
      </c>
      <c r="S314" t="str">
        <f>IF(Table4[[#This Row],[avg_games_per_stream]] &gt; 2, "Variety", "Focused")</f>
        <v>Focused</v>
      </c>
      <c r="T314" s="4">
        <f>Table4[[#This Row],[avg_viewers_per_stream]] / Table4[[#This Row],[total_followers]]</f>
        <v>1.7075471698113208E-2</v>
      </c>
    </row>
    <row r="315" spans="1:20">
      <c r="A315">
        <v>315</v>
      </c>
      <c r="B315" t="s">
        <v>469</v>
      </c>
      <c r="C315" t="s">
        <v>7</v>
      </c>
      <c r="D315" t="s">
        <v>39</v>
      </c>
      <c r="E315" t="s">
        <v>54</v>
      </c>
      <c r="F315" t="s">
        <v>56</v>
      </c>
      <c r="G315" s="3">
        <v>3</v>
      </c>
      <c r="H315">
        <v>3250</v>
      </c>
      <c r="I315">
        <v>509</v>
      </c>
      <c r="J315">
        <v>1.1000000000000001</v>
      </c>
      <c r="K315">
        <v>3426</v>
      </c>
      <c r="L315" s="2">
        <v>396000</v>
      </c>
      <c r="M315" s="2">
        <v>6190000</v>
      </c>
      <c r="N315">
        <v>24</v>
      </c>
      <c r="O315">
        <v>3.2</v>
      </c>
      <c r="P315" t="s">
        <v>19</v>
      </c>
      <c r="Q315" t="s">
        <v>18</v>
      </c>
      <c r="R315" s="2">
        <f>Table4[[#This Row],[total_followers]]/(Table4[[#This Row],[total_time_streamed]] / 60)</f>
        <v>6935.2014010507883</v>
      </c>
      <c r="S315" t="str">
        <f>IF(Table4[[#This Row],[avg_games_per_stream]] &gt; 2, "Variety", "Focused")</f>
        <v>Focused</v>
      </c>
      <c r="T315" s="4">
        <f>Table4[[#This Row],[avg_viewers_per_stream]] / Table4[[#This Row],[total_followers]]</f>
        <v>1.2853535353535353E-3</v>
      </c>
    </row>
    <row r="316" spans="1:20">
      <c r="A316">
        <v>316</v>
      </c>
      <c r="B316" t="s">
        <v>470</v>
      </c>
      <c r="C316" t="s">
        <v>3</v>
      </c>
      <c r="D316" t="s">
        <v>39</v>
      </c>
      <c r="E316" t="s">
        <v>109</v>
      </c>
      <c r="F316" t="s">
        <v>40</v>
      </c>
      <c r="G316" s="3">
        <v>8.1999999999999993</v>
      </c>
      <c r="H316">
        <v>7420</v>
      </c>
      <c r="I316">
        <v>37524</v>
      </c>
      <c r="J316">
        <v>1.2</v>
      </c>
      <c r="K316">
        <v>15155</v>
      </c>
      <c r="L316" s="2">
        <v>1370000</v>
      </c>
      <c r="M316" s="2">
        <v>69500000</v>
      </c>
      <c r="N316">
        <v>119</v>
      </c>
      <c r="O316">
        <v>5.3</v>
      </c>
      <c r="P316" t="s">
        <v>17</v>
      </c>
      <c r="Q316" t="s">
        <v>17</v>
      </c>
      <c r="R316" s="2">
        <f>Table4[[#This Row],[total_followers]]/(Table4[[#This Row],[total_time_streamed]] / 60)</f>
        <v>5423.9524909270867</v>
      </c>
      <c r="S316" t="str">
        <f>IF(Table4[[#This Row],[avg_games_per_stream]] &gt; 2, "Variety", "Focused")</f>
        <v>Focused</v>
      </c>
      <c r="T316" s="4">
        <f>Table4[[#This Row],[avg_viewers_per_stream]] / Table4[[#This Row],[total_followers]]</f>
        <v>2.7389781021897812E-2</v>
      </c>
    </row>
    <row r="317" spans="1:20">
      <c r="A317">
        <v>317</v>
      </c>
      <c r="B317" t="s">
        <v>471</v>
      </c>
      <c r="C317" t="s">
        <v>6</v>
      </c>
      <c r="D317" t="s">
        <v>39</v>
      </c>
      <c r="E317" t="s">
        <v>56</v>
      </c>
      <c r="F317" t="s">
        <v>156</v>
      </c>
      <c r="G317" s="3">
        <v>3.1</v>
      </c>
      <c r="H317">
        <v>2159</v>
      </c>
      <c r="I317">
        <v>57369</v>
      </c>
      <c r="J317">
        <v>1.2</v>
      </c>
      <c r="K317">
        <v>185</v>
      </c>
      <c r="L317" s="2">
        <v>1510000</v>
      </c>
      <c r="M317" s="2">
        <v>43100000</v>
      </c>
      <c r="N317">
        <v>32</v>
      </c>
      <c r="O317">
        <v>1.5</v>
      </c>
      <c r="P317" t="s">
        <v>17</v>
      </c>
      <c r="Q317" t="s">
        <v>14</v>
      </c>
      <c r="R317" s="2">
        <f>Table4[[#This Row],[total_followers]]/(Table4[[#This Row],[total_time_streamed]] / 60)</f>
        <v>489729.7297297297</v>
      </c>
      <c r="S317" t="str">
        <f>IF(Table4[[#This Row],[avg_games_per_stream]] &gt; 2, "Variety", "Focused")</f>
        <v>Focused</v>
      </c>
      <c r="T317" s="4">
        <f>Table4[[#This Row],[avg_viewers_per_stream]] / Table4[[#This Row],[total_followers]]</f>
        <v>3.7992715231788078E-2</v>
      </c>
    </row>
    <row r="318" spans="1:20">
      <c r="A318">
        <v>318</v>
      </c>
      <c r="B318" t="s">
        <v>472</v>
      </c>
      <c r="C318" t="s">
        <v>3</v>
      </c>
      <c r="D318" t="s">
        <v>39</v>
      </c>
      <c r="E318" t="s">
        <v>83</v>
      </c>
      <c r="F318" t="s">
        <v>473</v>
      </c>
      <c r="G318" s="3">
        <v>4.8</v>
      </c>
      <c r="H318">
        <v>2410</v>
      </c>
      <c r="I318">
        <v>8396</v>
      </c>
      <c r="J318">
        <v>1.8</v>
      </c>
      <c r="K318">
        <v>7117</v>
      </c>
      <c r="L318" s="2">
        <v>459000</v>
      </c>
      <c r="M318" s="2">
        <v>11900000</v>
      </c>
      <c r="N318">
        <v>334</v>
      </c>
      <c r="O318">
        <v>4.4000000000000004</v>
      </c>
      <c r="P318" t="s">
        <v>19</v>
      </c>
      <c r="Q318" t="s">
        <v>17</v>
      </c>
      <c r="R318" s="2">
        <f>Table4[[#This Row],[total_followers]]/(Table4[[#This Row],[total_time_streamed]] / 60)</f>
        <v>3869.6079808908248</v>
      </c>
      <c r="S318" t="str">
        <f>IF(Table4[[#This Row],[avg_games_per_stream]] &gt; 2, "Variety", "Focused")</f>
        <v>Focused</v>
      </c>
      <c r="T318" s="4">
        <f>Table4[[#This Row],[avg_viewers_per_stream]] / Table4[[#This Row],[total_followers]]</f>
        <v>1.829193899782135E-2</v>
      </c>
    </row>
    <row r="319" spans="1:20">
      <c r="A319">
        <v>319</v>
      </c>
      <c r="B319" t="s">
        <v>474</v>
      </c>
      <c r="C319" t="s">
        <v>61</v>
      </c>
      <c r="D319" t="s">
        <v>39</v>
      </c>
      <c r="E319" t="s">
        <v>66</v>
      </c>
      <c r="F319" t="s">
        <v>40</v>
      </c>
      <c r="G319" s="3">
        <v>7.1</v>
      </c>
      <c r="H319">
        <v>5640</v>
      </c>
      <c r="I319">
        <v>7831</v>
      </c>
      <c r="J319">
        <v>1.9</v>
      </c>
      <c r="K319">
        <v>6844</v>
      </c>
      <c r="L319" s="2">
        <v>550000</v>
      </c>
      <c r="M319" s="2">
        <v>7640000</v>
      </c>
      <c r="N319">
        <v>65</v>
      </c>
      <c r="O319">
        <v>4.3</v>
      </c>
      <c r="P319" t="s">
        <v>16</v>
      </c>
      <c r="Q319" t="s">
        <v>14</v>
      </c>
      <c r="R319" s="2">
        <f>Table4[[#This Row],[total_followers]]/(Table4[[#This Row],[total_time_streamed]] / 60)</f>
        <v>4821.7416715371128</v>
      </c>
      <c r="S319" t="str">
        <f>IF(Table4[[#This Row],[avg_games_per_stream]] &gt; 2, "Variety", "Focused")</f>
        <v>Focused</v>
      </c>
      <c r="T319" s="4">
        <f>Table4[[#This Row],[avg_viewers_per_stream]] / Table4[[#This Row],[total_followers]]</f>
        <v>1.4238181818181818E-2</v>
      </c>
    </row>
    <row r="320" spans="1:20">
      <c r="A320">
        <v>320</v>
      </c>
      <c r="B320" t="s">
        <v>475</v>
      </c>
      <c r="C320" t="s">
        <v>7</v>
      </c>
      <c r="D320" t="s">
        <v>39</v>
      </c>
      <c r="E320" t="s">
        <v>371</v>
      </c>
      <c r="F320" t="s">
        <v>476</v>
      </c>
      <c r="G320" s="3">
        <v>3.7</v>
      </c>
      <c r="H320">
        <v>3990</v>
      </c>
      <c r="I320">
        <v>1541</v>
      </c>
      <c r="J320">
        <v>1.4</v>
      </c>
      <c r="K320">
        <v>2653</v>
      </c>
      <c r="L320" s="2">
        <v>289000</v>
      </c>
      <c r="M320" s="2">
        <v>1110000</v>
      </c>
      <c r="N320">
        <v>52</v>
      </c>
      <c r="O320">
        <v>2.4</v>
      </c>
      <c r="P320" t="s">
        <v>17</v>
      </c>
      <c r="Q320" t="s">
        <v>17</v>
      </c>
      <c r="R320" s="2">
        <f>Table4[[#This Row],[total_followers]]/(Table4[[#This Row],[total_time_streamed]] / 60)</f>
        <v>6535.9969845457972</v>
      </c>
      <c r="S320" t="str">
        <f>IF(Table4[[#This Row],[avg_games_per_stream]] &gt; 2, "Variety", "Focused")</f>
        <v>Focused</v>
      </c>
      <c r="T320" s="4">
        <f>Table4[[#This Row],[avg_viewers_per_stream]] / Table4[[#This Row],[total_followers]]</f>
        <v>5.3321799307958478E-3</v>
      </c>
    </row>
    <row r="321" spans="1:20">
      <c r="A321">
        <v>321</v>
      </c>
      <c r="B321" t="s">
        <v>477</v>
      </c>
      <c r="C321" t="s">
        <v>63</v>
      </c>
      <c r="D321" t="s">
        <v>39</v>
      </c>
      <c r="E321" t="s">
        <v>64</v>
      </c>
      <c r="F321" t="s">
        <v>53</v>
      </c>
      <c r="G321" s="3">
        <v>7.4</v>
      </c>
      <c r="H321">
        <v>4870</v>
      </c>
      <c r="I321">
        <v>38575</v>
      </c>
      <c r="J321">
        <v>1.4</v>
      </c>
      <c r="K321">
        <v>10052</v>
      </c>
      <c r="L321" s="2">
        <v>732000</v>
      </c>
      <c r="M321" s="2">
        <v>55500000</v>
      </c>
      <c r="N321">
        <v>198</v>
      </c>
      <c r="O321">
        <v>3.5</v>
      </c>
      <c r="P321" t="s">
        <v>17</v>
      </c>
      <c r="Q321" t="s">
        <v>16</v>
      </c>
      <c r="R321" s="2">
        <f>Table4[[#This Row],[total_followers]]/(Table4[[#This Row],[total_time_streamed]] / 60)</f>
        <v>4369.2797453243138</v>
      </c>
      <c r="S321" t="str">
        <f>IF(Table4[[#This Row],[avg_games_per_stream]] &gt; 2, "Variety", "Focused")</f>
        <v>Focused</v>
      </c>
      <c r="T321" s="4">
        <f>Table4[[#This Row],[avg_viewers_per_stream]] / Table4[[#This Row],[total_followers]]</f>
        <v>5.2698087431693991E-2</v>
      </c>
    </row>
    <row r="322" spans="1:20">
      <c r="A322">
        <v>322</v>
      </c>
      <c r="B322" t="s">
        <v>478</v>
      </c>
      <c r="C322" t="s">
        <v>3</v>
      </c>
      <c r="D322" t="s">
        <v>39</v>
      </c>
      <c r="E322" t="s">
        <v>51</v>
      </c>
      <c r="F322" t="s">
        <v>40</v>
      </c>
      <c r="G322" s="3">
        <v>4.7</v>
      </c>
      <c r="H322">
        <v>381</v>
      </c>
      <c r="I322">
        <v>47258</v>
      </c>
      <c r="J322">
        <v>1.5</v>
      </c>
      <c r="K322">
        <v>6727</v>
      </c>
      <c r="L322" s="2">
        <v>5280000</v>
      </c>
      <c r="M322" s="2">
        <v>65500000</v>
      </c>
      <c r="N322">
        <v>129</v>
      </c>
      <c r="O322">
        <v>4.5999999999999996</v>
      </c>
      <c r="P322" t="s">
        <v>15</v>
      </c>
      <c r="Q322" t="s">
        <v>20</v>
      </c>
      <c r="R322" s="2">
        <f>Table4[[#This Row],[total_followers]]/(Table4[[#This Row],[total_time_streamed]] / 60)</f>
        <v>47093.801100044599</v>
      </c>
      <c r="S322" t="str">
        <f>IF(Table4[[#This Row],[avg_games_per_stream]] &gt; 2, "Variety", "Focused")</f>
        <v>Focused</v>
      </c>
      <c r="T322" s="4">
        <f>Table4[[#This Row],[avg_viewers_per_stream]] / Table4[[#This Row],[total_followers]]</f>
        <v>8.9503787878787884E-3</v>
      </c>
    </row>
    <row r="323" spans="1:20">
      <c r="A323">
        <v>323</v>
      </c>
      <c r="B323" t="s">
        <v>479</v>
      </c>
      <c r="C323" t="s">
        <v>61</v>
      </c>
      <c r="D323" t="s">
        <v>39</v>
      </c>
      <c r="E323" t="s">
        <v>193</v>
      </c>
      <c r="F323" t="s">
        <v>331</v>
      </c>
      <c r="G323" s="3">
        <v>2.6</v>
      </c>
      <c r="H323">
        <v>270</v>
      </c>
      <c r="I323">
        <v>6393</v>
      </c>
      <c r="J323">
        <v>1</v>
      </c>
      <c r="K323">
        <v>4130</v>
      </c>
      <c r="L323" s="2">
        <v>4300</v>
      </c>
      <c r="M323" s="2">
        <v>998000</v>
      </c>
      <c r="N323">
        <v>15</v>
      </c>
      <c r="O323">
        <v>0.7</v>
      </c>
      <c r="P323" t="s">
        <v>20</v>
      </c>
      <c r="Q323" t="s">
        <v>16</v>
      </c>
      <c r="R323" s="2">
        <f>Table4[[#This Row],[total_followers]]/(Table4[[#This Row],[total_time_streamed]] / 60)</f>
        <v>62.469733656174341</v>
      </c>
      <c r="S323" t="str">
        <f>IF(Table4[[#This Row],[avg_games_per_stream]] &gt; 2, "Variety", "Focused")</f>
        <v>Focused</v>
      </c>
      <c r="T323" s="4">
        <f>Table4[[#This Row],[avg_viewers_per_stream]] / Table4[[#This Row],[total_followers]]</f>
        <v>1.4867441860465116</v>
      </c>
    </row>
    <row r="324" spans="1:20">
      <c r="A324">
        <v>324</v>
      </c>
      <c r="B324" t="s">
        <v>480</v>
      </c>
      <c r="C324" t="s">
        <v>3</v>
      </c>
      <c r="D324" t="s">
        <v>39</v>
      </c>
      <c r="E324" t="s">
        <v>68</v>
      </c>
      <c r="F324" t="s">
        <v>40</v>
      </c>
      <c r="G324" s="3">
        <v>7</v>
      </c>
      <c r="H324">
        <v>3420</v>
      </c>
      <c r="I324">
        <v>4862</v>
      </c>
      <c r="J324">
        <v>1.7</v>
      </c>
      <c r="K324">
        <v>12177</v>
      </c>
      <c r="L324" s="2">
        <v>624000</v>
      </c>
      <c r="M324" s="2">
        <v>8860000</v>
      </c>
      <c r="N324">
        <v>194</v>
      </c>
      <c r="O324">
        <v>4.5</v>
      </c>
      <c r="P324" t="s">
        <v>19</v>
      </c>
      <c r="Q324" t="s">
        <v>14</v>
      </c>
      <c r="R324" s="2">
        <f>Table4[[#This Row],[total_followers]]/(Table4[[#This Row],[total_time_streamed]] / 60)</f>
        <v>3074.6489283074652</v>
      </c>
      <c r="S324" t="str">
        <f>IF(Table4[[#This Row],[avg_games_per_stream]] &gt; 2, "Variety", "Focused")</f>
        <v>Focused</v>
      </c>
      <c r="T324" s="4">
        <f>Table4[[#This Row],[avg_viewers_per_stream]] / Table4[[#This Row],[total_followers]]</f>
        <v>7.7916666666666664E-3</v>
      </c>
    </row>
    <row r="325" spans="1:20">
      <c r="A325">
        <v>325</v>
      </c>
      <c r="B325" t="s">
        <v>481</v>
      </c>
      <c r="C325" t="s">
        <v>4</v>
      </c>
      <c r="D325" t="s">
        <v>39</v>
      </c>
      <c r="E325" t="s">
        <v>46</v>
      </c>
      <c r="F325" t="s">
        <v>74</v>
      </c>
      <c r="G325" s="3">
        <v>6.3</v>
      </c>
      <c r="H325">
        <v>4550</v>
      </c>
      <c r="I325">
        <v>14985</v>
      </c>
      <c r="J325">
        <v>1.8</v>
      </c>
      <c r="K325">
        <v>11161</v>
      </c>
      <c r="L325" s="2">
        <v>859000</v>
      </c>
      <c r="M325" s="2">
        <v>27300000</v>
      </c>
      <c r="N325">
        <v>236</v>
      </c>
      <c r="O325">
        <v>4.5999999999999996</v>
      </c>
      <c r="P325" t="s">
        <v>14</v>
      </c>
      <c r="Q325" t="s">
        <v>15</v>
      </c>
      <c r="R325" s="2">
        <f>Table4[[#This Row],[total_followers]]/(Table4[[#This Row],[total_time_streamed]] / 60)</f>
        <v>4617.865782635964</v>
      </c>
      <c r="S325" t="str">
        <f>IF(Table4[[#This Row],[avg_games_per_stream]] &gt; 2, "Variety", "Focused")</f>
        <v>Focused</v>
      </c>
      <c r="T325" s="4">
        <f>Table4[[#This Row],[avg_viewers_per_stream]] / Table4[[#This Row],[total_followers]]</f>
        <v>1.7444703143189754E-2</v>
      </c>
    </row>
    <row r="326" spans="1:20">
      <c r="A326">
        <v>326</v>
      </c>
      <c r="B326" t="s">
        <v>482</v>
      </c>
      <c r="C326" t="s">
        <v>7</v>
      </c>
      <c r="D326" t="s">
        <v>58</v>
      </c>
      <c r="E326" t="s">
        <v>46</v>
      </c>
      <c r="F326" t="s">
        <v>123</v>
      </c>
      <c r="G326" s="3">
        <v>5.5</v>
      </c>
      <c r="H326">
        <v>7640</v>
      </c>
      <c r="I326">
        <v>39372</v>
      </c>
      <c r="J326">
        <v>1</v>
      </c>
      <c r="K326">
        <v>4661</v>
      </c>
      <c r="L326" s="2">
        <v>679000</v>
      </c>
      <c r="M326" s="2">
        <v>35000000</v>
      </c>
      <c r="N326">
        <v>6</v>
      </c>
      <c r="O326">
        <v>2.2999999999999998</v>
      </c>
      <c r="P326" t="s">
        <v>15</v>
      </c>
      <c r="Q326" t="s">
        <v>15</v>
      </c>
      <c r="R326" s="2">
        <f>Table4[[#This Row],[total_followers]]/(Table4[[#This Row],[total_time_streamed]] / 60)</f>
        <v>8740.6136022312803</v>
      </c>
      <c r="S326" t="str">
        <f>IF(Table4[[#This Row],[avg_games_per_stream]] &gt; 2, "Variety", "Focused")</f>
        <v>Focused</v>
      </c>
      <c r="T326" s="4">
        <f>Table4[[#This Row],[avg_viewers_per_stream]] / Table4[[#This Row],[total_followers]]</f>
        <v>5.7985272459499262E-2</v>
      </c>
    </row>
    <row r="327" spans="1:20">
      <c r="A327">
        <v>327</v>
      </c>
      <c r="B327" t="s">
        <v>483</v>
      </c>
      <c r="C327" t="s">
        <v>4</v>
      </c>
      <c r="D327" t="s">
        <v>39</v>
      </c>
      <c r="E327" t="s">
        <v>54</v>
      </c>
      <c r="F327" t="s">
        <v>74</v>
      </c>
      <c r="G327" s="3">
        <v>2.2000000000000002</v>
      </c>
      <c r="H327">
        <v>7300</v>
      </c>
      <c r="I327">
        <v>0</v>
      </c>
      <c r="J327">
        <v>1.2</v>
      </c>
      <c r="K327">
        <v>790</v>
      </c>
      <c r="L327" s="2">
        <v>29200</v>
      </c>
      <c r="M327" s="2">
        <v>0</v>
      </c>
      <c r="N327">
        <v>2</v>
      </c>
      <c r="O327">
        <v>1</v>
      </c>
      <c r="P327" t="s">
        <v>15</v>
      </c>
      <c r="Q327" t="s">
        <v>20</v>
      </c>
      <c r="R327" s="2">
        <f>Table4[[#This Row],[total_followers]]/(Table4[[#This Row],[total_time_streamed]] / 60)</f>
        <v>2217.7215189873418</v>
      </c>
      <c r="S327" t="str">
        <f>IF(Table4[[#This Row],[avg_games_per_stream]] &gt; 2, "Variety", "Focused")</f>
        <v>Focused</v>
      </c>
      <c r="T327" s="4">
        <f>Table4[[#This Row],[avg_viewers_per_stream]] / Table4[[#This Row],[total_followers]]</f>
        <v>0</v>
      </c>
    </row>
    <row r="328" spans="1:20">
      <c r="A328">
        <v>328</v>
      </c>
      <c r="B328" t="s">
        <v>484</v>
      </c>
      <c r="C328" t="s">
        <v>63</v>
      </c>
      <c r="D328" t="s">
        <v>39</v>
      </c>
      <c r="E328" t="s">
        <v>40</v>
      </c>
      <c r="F328" t="s">
        <v>51</v>
      </c>
      <c r="G328" s="3">
        <v>2.4</v>
      </c>
      <c r="H328">
        <v>4427</v>
      </c>
      <c r="I328">
        <v>0</v>
      </c>
      <c r="J328">
        <v>1.1000000000000001</v>
      </c>
      <c r="K328">
        <v>5290</v>
      </c>
      <c r="L328" s="2">
        <v>987000</v>
      </c>
      <c r="M328" s="2">
        <v>8</v>
      </c>
      <c r="N328">
        <v>16</v>
      </c>
      <c r="O328">
        <v>3.9</v>
      </c>
      <c r="P328" t="s">
        <v>14</v>
      </c>
      <c r="Q328" t="s">
        <v>20</v>
      </c>
      <c r="R328" s="2">
        <f>Table4[[#This Row],[total_followers]]/(Table4[[#This Row],[total_time_streamed]] / 60)</f>
        <v>11194.706994328923</v>
      </c>
      <c r="S328" t="str">
        <f>IF(Table4[[#This Row],[avg_games_per_stream]] &gt; 2, "Variety", "Focused")</f>
        <v>Focused</v>
      </c>
      <c r="T328" s="4">
        <f>Table4[[#This Row],[avg_viewers_per_stream]] / Table4[[#This Row],[total_followers]]</f>
        <v>0</v>
      </c>
    </row>
    <row r="329" spans="1:20">
      <c r="A329">
        <v>329</v>
      </c>
      <c r="B329" t="s">
        <v>485</v>
      </c>
      <c r="C329" t="s">
        <v>5</v>
      </c>
      <c r="D329" t="s">
        <v>39</v>
      </c>
      <c r="E329" t="s">
        <v>54</v>
      </c>
      <c r="F329" t="s">
        <v>109</v>
      </c>
      <c r="G329" s="3">
        <v>4.7</v>
      </c>
      <c r="H329">
        <v>1005</v>
      </c>
      <c r="I329">
        <v>4590</v>
      </c>
      <c r="J329">
        <v>1.1000000000000001</v>
      </c>
      <c r="K329">
        <v>1976</v>
      </c>
      <c r="L329" s="2">
        <v>435000</v>
      </c>
      <c r="M329" s="2">
        <v>199000</v>
      </c>
      <c r="N329">
        <v>56</v>
      </c>
      <c r="O329">
        <v>1.3</v>
      </c>
      <c r="P329" t="s">
        <v>15</v>
      </c>
      <c r="Q329" t="s">
        <v>14</v>
      </c>
      <c r="R329" s="2">
        <f>Table4[[#This Row],[total_followers]]/(Table4[[#This Row],[total_time_streamed]] / 60)</f>
        <v>13208.5020242915</v>
      </c>
      <c r="S329" t="str">
        <f>IF(Table4[[#This Row],[avg_games_per_stream]] &gt; 2, "Variety", "Focused")</f>
        <v>Focused</v>
      </c>
      <c r="T329" s="4">
        <f>Table4[[#This Row],[avg_viewers_per_stream]] / Table4[[#This Row],[total_followers]]</f>
        <v>1.0551724137931035E-2</v>
      </c>
    </row>
    <row r="330" spans="1:20">
      <c r="A330">
        <v>330</v>
      </c>
      <c r="B330" t="s">
        <v>486</v>
      </c>
      <c r="C330" t="s">
        <v>5</v>
      </c>
      <c r="D330" t="s">
        <v>39</v>
      </c>
      <c r="E330" t="s">
        <v>54</v>
      </c>
      <c r="F330" t="s">
        <v>46</v>
      </c>
      <c r="G330" s="3">
        <v>7.5</v>
      </c>
      <c r="H330">
        <v>2400</v>
      </c>
      <c r="I330">
        <v>1153</v>
      </c>
      <c r="J330">
        <v>1.3</v>
      </c>
      <c r="K330">
        <v>6594</v>
      </c>
      <c r="L330" s="2">
        <v>261000</v>
      </c>
      <c r="M330" s="2">
        <v>1250000</v>
      </c>
      <c r="N330">
        <v>80</v>
      </c>
      <c r="O330">
        <v>5.7</v>
      </c>
      <c r="P330" t="s">
        <v>20</v>
      </c>
      <c r="Q330" t="s">
        <v>14</v>
      </c>
      <c r="R330" s="2">
        <f>Table4[[#This Row],[total_followers]]/(Table4[[#This Row],[total_time_streamed]] / 60)</f>
        <v>2374.8862602365784</v>
      </c>
      <c r="S330" t="str">
        <f>IF(Table4[[#This Row],[avg_games_per_stream]] &gt; 2, "Variety", "Focused")</f>
        <v>Focused</v>
      </c>
      <c r="T330" s="4">
        <f>Table4[[#This Row],[avg_viewers_per_stream]] / Table4[[#This Row],[total_followers]]</f>
        <v>4.4176245210727971E-3</v>
      </c>
    </row>
    <row r="331" spans="1:20">
      <c r="A331">
        <v>331</v>
      </c>
      <c r="B331" t="s">
        <v>487</v>
      </c>
      <c r="C331" t="s">
        <v>3</v>
      </c>
      <c r="D331" t="s">
        <v>39</v>
      </c>
      <c r="E331" t="s">
        <v>224</v>
      </c>
      <c r="F331" t="s">
        <v>40</v>
      </c>
      <c r="G331" s="3">
        <v>6.2</v>
      </c>
      <c r="H331">
        <v>2500</v>
      </c>
      <c r="I331">
        <v>1113</v>
      </c>
      <c r="J331">
        <v>1.3</v>
      </c>
      <c r="K331">
        <v>8169</v>
      </c>
      <c r="L331" s="2">
        <v>334000</v>
      </c>
      <c r="M331" s="2">
        <v>1570000</v>
      </c>
      <c r="N331">
        <v>294</v>
      </c>
      <c r="O331">
        <v>3.4</v>
      </c>
      <c r="P331" t="s">
        <v>20</v>
      </c>
      <c r="Q331" t="s">
        <v>14</v>
      </c>
      <c r="R331" s="2">
        <f>Table4[[#This Row],[total_followers]]/(Table4[[#This Row],[total_time_streamed]] / 60)</f>
        <v>2453.1766434080059</v>
      </c>
      <c r="S331" t="str">
        <f>IF(Table4[[#This Row],[avg_games_per_stream]] &gt; 2, "Variety", "Focused")</f>
        <v>Focused</v>
      </c>
      <c r="T331" s="4">
        <f>Table4[[#This Row],[avg_viewers_per_stream]] / Table4[[#This Row],[total_followers]]</f>
        <v>3.3323353293413173E-3</v>
      </c>
    </row>
    <row r="332" spans="1:20">
      <c r="A332">
        <v>332</v>
      </c>
      <c r="B332" t="s">
        <v>488</v>
      </c>
      <c r="C332" t="s">
        <v>63</v>
      </c>
      <c r="D332" t="s">
        <v>39</v>
      </c>
      <c r="E332" t="s">
        <v>70</v>
      </c>
      <c r="F332" t="s">
        <v>40</v>
      </c>
      <c r="G332" s="3">
        <v>3.8</v>
      </c>
      <c r="H332">
        <v>3360</v>
      </c>
      <c r="I332">
        <v>12726</v>
      </c>
      <c r="J332">
        <v>2</v>
      </c>
      <c r="K332">
        <v>5836</v>
      </c>
      <c r="L332" s="2">
        <v>486000</v>
      </c>
      <c r="M332" s="2">
        <v>18400000</v>
      </c>
      <c r="N332">
        <v>42</v>
      </c>
      <c r="O332">
        <v>4.9000000000000004</v>
      </c>
      <c r="P332" t="s">
        <v>18</v>
      </c>
      <c r="Q332" t="s">
        <v>15</v>
      </c>
      <c r="R332" s="2">
        <f>Table4[[#This Row],[total_followers]]/(Table4[[#This Row],[total_time_streamed]] / 60)</f>
        <v>4996.5729952021929</v>
      </c>
      <c r="S332" t="str">
        <f>IF(Table4[[#This Row],[avg_games_per_stream]] &gt; 2, "Variety", "Focused")</f>
        <v>Focused</v>
      </c>
      <c r="T332" s="4">
        <f>Table4[[#This Row],[avg_viewers_per_stream]] / Table4[[#This Row],[total_followers]]</f>
        <v>2.6185185185185186E-2</v>
      </c>
    </row>
    <row r="333" spans="1:20">
      <c r="A333">
        <v>333</v>
      </c>
      <c r="B333" t="s">
        <v>489</v>
      </c>
      <c r="C333" t="s">
        <v>160</v>
      </c>
      <c r="D333" t="s">
        <v>39</v>
      </c>
      <c r="E333" t="s">
        <v>66</v>
      </c>
      <c r="F333" t="s">
        <v>51</v>
      </c>
      <c r="G333" s="3">
        <v>5.7</v>
      </c>
      <c r="H333">
        <v>2140</v>
      </c>
      <c r="I333">
        <v>6713</v>
      </c>
      <c r="J333">
        <v>1.4</v>
      </c>
      <c r="K333">
        <v>5081</v>
      </c>
      <c r="L333" s="2">
        <v>188000</v>
      </c>
      <c r="M333" s="2">
        <v>5900000</v>
      </c>
      <c r="N333">
        <v>38</v>
      </c>
      <c r="O333">
        <v>4.2</v>
      </c>
      <c r="P333" t="s">
        <v>17</v>
      </c>
      <c r="Q333" t="s">
        <v>14</v>
      </c>
      <c r="R333" s="2">
        <f>Table4[[#This Row],[total_followers]]/(Table4[[#This Row],[total_time_streamed]] / 60)</f>
        <v>2220.0354260972249</v>
      </c>
      <c r="S333" t="str">
        <f>IF(Table4[[#This Row],[avg_games_per_stream]] &gt; 2, "Variety", "Focused")</f>
        <v>Focused</v>
      </c>
      <c r="T333" s="4">
        <f>Table4[[#This Row],[avg_viewers_per_stream]] / Table4[[#This Row],[total_followers]]</f>
        <v>3.5707446808510637E-2</v>
      </c>
    </row>
    <row r="334" spans="1:20">
      <c r="A334">
        <v>334</v>
      </c>
      <c r="B334" t="s">
        <v>490</v>
      </c>
      <c r="C334" t="s">
        <v>6</v>
      </c>
      <c r="D334" t="s">
        <v>39</v>
      </c>
      <c r="E334" t="s">
        <v>46</v>
      </c>
      <c r="F334" t="s">
        <v>85</v>
      </c>
      <c r="G334" s="3">
        <v>6.5</v>
      </c>
      <c r="H334">
        <v>4950</v>
      </c>
      <c r="I334">
        <v>8030</v>
      </c>
      <c r="J334">
        <v>1.3</v>
      </c>
      <c r="K334">
        <v>4212</v>
      </c>
      <c r="L334" s="2">
        <v>365000</v>
      </c>
      <c r="M334" s="2">
        <v>2570000</v>
      </c>
      <c r="N334">
        <v>15</v>
      </c>
      <c r="O334">
        <v>1.9</v>
      </c>
      <c r="P334" t="s">
        <v>20</v>
      </c>
      <c r="Q334" t="s">
        <v>14</v>
      </c>
      <c r="R334" s="2">
        <f>Table4[[#This Row],[total_followers]]/(Table4[[#This Row],[total_time_streamed]] / 60)</f>
        <v>5199.4301994301995</v>
      </c>
      <c r="S334" t="str">
        <f>IF(Table4[[#This Row],[avg_games_per_stream]] &gt; 2, "Variety", "Focused")</f>
        <v>Focused</v>
      </c>
      <c r="T334" s="4">
        <f>Table4[[#This Row],[avg_viewers_per_stream]] / Table4[[#This Row],[total_followers]]</f>
        <v>2.1999999999999999E-2</v>
      </c>
    </row>
    <row r="335" spans="1:20">
      <c r="A335">
        <v>335</v>
      </c>
      <c r="B335" t="s">
        <v>491</v>
      </c>
      <c r="C335" t="s">
        <v>6</v>
      </c>
      <c r="D335" t="s">
        <v>39</v>
      </c>
      <c r="E335" t="s">
        <v>40</v>
      </c>
      <c r="F335" t="s">
        <v>12</v>
      </c>
      <c r="G335" s="3">
        <v>5.2</v>
      </c>
      <c r="H335">
        <v>5950</v>
      </c>
      <c r="I335">
        <v>0</v>
      </c>
      <c r="J335">
        <v>1.5</v>
      </c>
      <c r="K335">
        <v>2680</v>
      </c>
      <c r="L335" s="2">
        <v>28600</v>
      </c>
      <c r="M335" s="2">
        <v>0</v>
      </c>
      <c r="N335">
        <v>21</v>
      </c>
      <c r="O335">
        <v>0.7</v>
      </c>
      <c r="P335" t="s">
        <v>16</v>
      </c>
      <c r="Q335" t="s">
        <v>16</v>
      </c>
      <c r="R335" s="2">
        <f>Table4[[#This Row],[total_followers]]/(Table4[[#This Row],[total_time_streamed]] / 60)</f>
        <v>640.29850746268664</v>
      </c>
      <c r="S335" t="str">
        <f>IF(Table4[[#This Row],[avg_games_per_stream]] &gt; 2, "Variety", "Focused")</f>
        <v>Focused</v>
      </c>
      <c r="T335" s="4">
        <f>Table4[[#This Row],[avg_viewers_per_stream]] / Table4[[#This Row],[total_followers]]</f>
        <v>0</v>
      </c>
    </row>
    <row r="336" spans="1:20">
      <c r="A336">
        <v>336</v>
      </c>
      <c r="B336" t="s">
        <v>492</v>
      </c>
      <c r="C336" t="s">
        <v>7</v>
      </c>
      <c r="D336" t="s">
        <v>39</v>
      </c>
      <c r="E336" t="s">
        <v>46</v>
      </c>
      <c r="F336" t="s">
        <v>74</v>
      </c>
      <c r="G336" s="3">
        <v>3.5</v>
      </c>
      <c r="H336">
        <v>4490</v>
      </c>
      <c r="I336">
        <v>6854</v>
      </c>
      <c r="J336">
        <v>1.1000000000000001</v>
      </c>
      <c r="K336">
        <v>6807</v>
      </c>
      <c r="L336" s="2">
        <v>789000</v>
      </c>
      <c r="M336" s="2">
        <v>12000000</v>
      </c>
      <c r="N336">
        <v>64</v>
      </c>
      <c r="O336">
        <v>5.5</v>
      </c>
      <c r="P336" t="s">
        <v>14</v>
      </c>
      <c r="Q336" t="s">
        <v>19</v>
      </c>
      <c r="R336" s="2">
        <f>Table4[[#This Row],[total_followers]]/(Table4[[#This Row],[total_time_streamed]] / 60)</f>
        <v>6954.6055531070951</v>
      </c>
      <c r="S336" t="str">
        <f>IF(Table4[[#This Row],[avg_games_per_stream]] &gt; 2, "Variety", "Focused")</f>
        <v>Focused</v>
      </c>
      <c r="T336" s="4">
        <f>Table4[[#This Row],[avg_viewers_per_stream]] / Table4[[#This Row],[total_followers]]</f>
        <v>8.686945500633713E-3</v>
      </c>
    </row>
    <row r="337" spans="1:20">
      <c r="A337">
        <v>337</v>
      </c>
      <c r="B337" t="s">
        <v>493</v>
      </c>
      <c r="C337" t="s">
        <v>2</v>
      </c>
      <c r="D337" t="s">
        <v>39</v>
      </c>
      <c r="E337" t="s">
        <v>40</v>
      </c>
      <c r="F337" t="s">
        <v>150</v>
      </c>
      <c r="G337" s="3">
        <v>16.100000000000001</v>
      </c>
      <c r="H337">
        <v>800</v>
      </c>
      <c r="I337">
        <v>2942</v>
      </c>
      <c r="J337">
        <v>1.5</v>
      </c>
      <c r="K337">
        <v>44732</v>
      </c>
      <c r="L337" s="2">
        <v>175000</v>
      </c>
      <c r="M337" s="2">
        <v>73300000</v>
      </c>
      <c r="N337">
        <v>277</v>
      </c>
      <c r="O337">
        <v>6.9</v>
      </c>
      <c r="P337" t="s">
        <v>16</v>
      </c>
      <c r="Q337" t="s">
        <v>15</v>
      </c>
      <c r="R337" s="2">
        <f>Table4[[#This Row],[total_followers]]/(Table4[[#This Row],[total_time_streamed]] / 60)</f>
        <v>234.73128856299741</v>
      </c>
      <c r="S337" t="str">
        <f>IF(Table4[[#This Row],[avg_games_per_stream]] &gt; 2, "Variety", "Focused")</f>
        <v>Focused</v>
      </c>
      <c r="T337" s="4">
        <f>Table4[[#This Row],[avg_viewers_per_stream]] / Table4[[#This Row],[total_followers]]</f>
        <v>1.6811428571428571E-2</v>
      </c>
    </row>
    <row r="338" spans="1:20">
      <c r="A338">
        <v>338</v>
      </c>
      <c r="B338" t="s">
        <v>494</v>
      </c>
      <c r="C338" t="s">
        <v>7</v>
      </c>
      <c r="D338" t="s">
        <v>39</v>
      </c>
      <c r="E338" t="s">
        <v>66</v>
      </c>
      <c r="F338" t="s">
        <v>51</v>
      </c>
      <c r="G338" s="3">
        <v>4</v>
      </c>
      <c r="H338">
        <v>2116</v>
      </c>
      <c r="I338">
        <v>35555</v>
      </c>
      <c r="J338">
        <v>1.3</v>
      </c>
      <c r="K338">
        <v>4691</v>
      </c>
      <c r="L338" s="2">
        <v>2490000</v>
      </c>
      <c r="M338" s="2">
        <v>41800000</v>
      </c>
      <c r="N338">
        <v>74</v>
      </c>
      <c r="O338">
        <v>4.4000000000000004</v>
      </c>
      <c r="P338" t="s">
        <v>19</v>
      </c>
      <c r="Q338" t="s">
        <v>14</v>
      </c>
      <c r="R338" s="2">
        <f>Table4[[#This Row],[total_followers]]/(Table4[[#This Row],[total_time_streamed]] / 60)</f>
        <v>31848.219995736516</v>
      </c>
      <c r="S338" t="str">
        <f>IF(Table4[[#This Row],[avg_games_per_stream]] &gt; 2, "Variety", "Focused")</f>
        <v>Focused</v>
      </c>
      <c r="T338" s="4">
        <f>Table4[[#This Row],[avg_viewers_per_stream]] / Table4[[#This Row],[total_followers]]</f>
        <v>1.4279116465863453E-2</v>
      </c>
    </row>
    <row r="339" spans="1:20">
      <c r="A339">
        <v>339</v>
      </c>
      <c r="B339" t="s">
        <v>495</v>
      </c>
      <c r="C339" t="s">
        <v>3</v>
      </c>
      <c r="D339" t="s">
        <v>39</v>
      </c>
      <c r="E339" t="s">
        <v>53</v>
      </c>
      <c r="F339" t="s">
        <v>12</v>
      </c>
      <c r="G339" s="3">
        <v>9.1999999999999993</v>
      </c>
      <c r="H339">
        <v>2260</v>
      </c>
      <c r="I339">
        <v>15728</v>
      </c>
      <c r="J339">
        <v>1.1000000000000001</v>
      </c>
      <c r="K339">
        <v>12889</v>
      </c>
      <c r="L339" s="2">
        <v>314000</v>
      </c>
      <c r="M339" s="2">
        <v>21800000</v>
      </c>
      <c r="N339">
        <v>34</v>
      </c>
      <c r="O339">
        <v>4.2</v>
      </c>
      <c r="P339" t="s">
        <v>16</v>
      </c>
      <c r="Q339" t="s">
        <v>18</v>
      </c>
      <c r="R339" s="2">
        <f>Table4[[#This Row],[total_followers]]/(Table4[[#This Row],[total_time_streamed]] / 60)</f>
        <v>1461.7115369695089</v>
      </c>
      <c r="S339" t="str">
        <f>IF(Table4[[#This Row],[avg_games_per_stream]] &gt; 2, "Variety", "Focused")</f>
        <v>Focused</v>
      </c>
      <c r="T339" s="4">
        <f>Table4[[#This Row],[avg_viewers_per_stream]] / Table4[[#This Row],[total_followers]]</f>
        <v>5.0089171974522291E-2</v>
      </c>
    </row>
    <row r="340" spans="1:20">
      <c r="A340">
        <v>340</v>
      </c>
      <c r="B340" t="s">
        <v>496</v>
      </c>
      <c r="C340" t="s">
        <v>7</v>
      </c>
      <c r="D340" t="s">
        <v>58</v>
      </c>
      <c r="E340" t="s">
        <v>156</v>
      </c>
      <c r="F340" t="s">
        <v>157</v>
      </c>
      <c r="G340" s="3">
        <v>3.9</v>
      </c>
      <c r="H340">
        <v>7330</v>
      </c>
      <c r="I340">
        <v>89003</v>
      </c>
      <c r="J340">
        <v>1</v>
      </c>
      <c r="K340">
        <v>6710</v>
      </c>
      <c r="L340" s="2">
        <v>122000</v>
      </c>
      <c r="M340" s="2">
        <v>14800000</v>
      </c>
      <c r="N340">
        <v>5</v>
      </c>
      <c r="O340">
        <v>0.8</v>
      </c>
      <c r="P340" t="s">
        <v>17</v>
      </c>
      <c r="Q340" t="s">
        <v>14</v>
      </c>
      <c r="R340" s="2">
        <f>Table4[[#This Row],[total_followers]]/(Table4[[#This Row],[total_time_streamed]] / 60)</f>
        <v>1090.909090909091</v>
      </c>
      <c r="S340" t="str">
        <f>IF(Table4[[#This Row],[avg_games_per_stream]] &gt; 2, "Variety", "Focused")</f>
        <v>Focused</v>
      </c>
      <c r="T340" s="4">
        <f>Table4[[#This Row],[avg_viewers_per_stream]] / Table4[[#This Row],[total_followers]]</f>
        <v>0.72953278688524592</v>
      </c>
    </row>
    <row r="341" spans="1:20">
      <c r="A341">
        <v>341</v>
      </c>
      <c r="B341" t="s">
        <v>497</v>
      </c>
      <c r="C341" t="s">
        <v>7</v>
      </c>
      <c r="D341" t="s">
        <v>39</v>
      </c>
      <c r="E341" t="s">
        <v>40</v>
      </c>
      <c r="F341" t="s">
        <v>51</v>
      </c>
      <c r="G341" s="3">
        <v>3</v>
      </c>
      <c r="H341">
        <v>2911</v>
      </c>
      <c r="I341">
        <v>7387</v>
      </c>
      <c r="J341">
        <v>2</v>
      </c>
      <c r="K341">
        <v>3798</v>
      </c>
      <c r="L341" s="2">
        <v>3260000</v>
      </c>
      <c r="M341" s="2">
        <v>8279999</v>
      </c>
      <c r="N341">
        <v>268</v>
      </c>
      <c r="O341">
        <v>3.7</v>
      </c>
      <c r="P341" t="s">
        <v>19</v>
      </c>
      <c r="Q341" t="s">
        <v>18</v>
      </c>
      <c r="R341" s="2">
        <f>Table4[[#This Row],[total_followers]]/(Table4[[#This Row],[total_time_streamed]] / 60)</f>
        <v>51500.789889415486</v>
      </c>
      <c r="S341" t="str">
        <f>IF(Table4[[#This Row],[avg_games_per_stream]] &gt; 2, "Variety", "Focused")</f>
        <v>Focused</v>
      </c>
      <c r="T341" s="4">
        <f>Table4[[#This Row],[avg_viewers_per_stream]] / Table4[[#This Row],[total_followers]]</f>
        <v>2.2659509202453986E-3</v>
      </c>
    </row>
    <row r="342" spans="1:20">
      <c r="A342">
        <v>342</v>
      </c>
      <c r="B342" t="s">
        <v>498</v>
      </c>
      <c r="C342" t="s">
        <v>6</v>
      </c>
      <c r="D342" t="s">
        <v>39</v>
      </c>
      <c r="E342" t="s">
        <v>66</v>
      </c>
      <c r="F342" t="s">
        <v>12</v>
      </c>
      <c r="G342" s="3">
        <v>2</v>
      </c>
      <c r="H342">
        <v>6727</v>
      </c>
      <c r="I342">
        <v>0</v>
      </c>
      <c r="J342">
        <v>1.5</v>
      </c>
      <c r="K342">
        <v>100</v>
      </c>
      <c r="L342" s="2">
        <v>30300</v>
      </c>
      <c r="M342" s="2">
        <v>0</v>
      </c>
      <c r="N342">
        <v>3</v>
      </c>
      <c r="O342">
        <v>4.4000000000000004</v>
      </c>
      <c r="P342" t="s">
        <v>16</v>
      </c>
      <c r="Q342" t="s">
        <v>15</v>
      </c>
      <c r="R342" s="2">
        <f>Table4[[#This Row],[total_followers]]/(Table4[[#This Row],[total_time_streamed]] / 60)</f>
        <v>18180</v>
      </c>
      <c r="S342" t="str">
        <f>IF(Table4[[#This Row],[avg_games_per_stream]] &gt; 2, "Variety", "Focused")</f>
        <v>Focused</v>
      </c>
      <c r="T342" s="4">
        <f>Table4[[#This Row],[avg_viewers_per_stream]] / Table4[[#This Row],[total_followers]]</f>
        <v>0</v>
      </c>
    </row>
    <row r="343" spans="1:20">
      <c r="A343">
        <v>343</v>
      </c>
      <c r="B343" t="s">
        <v>499</v>
      </c>
      <c r="C343" t="s">
        <v>3</v>
      </c>
      <c r="D343" t="s">
        <v>39</v>
      </c>
      <c r="E343" t="s">
        <v>46</v>
      </c>
      <c r="F343" t="s">
        <v>40</v>
      </c>
      <c r="G343" s="3">
        <v>8.5</v>
      </c>
      <c r="H343">
        <v>6060</v>
      </c>
      <c r="I343">
        <v>1823</v>
      </c>
      <c r="J343">
        <v>1.1000000000000001</v>
      </c>
      <c r="K343">
        <v>12738</v>
      </c>
      <c r="L343" s="2">
        <v>966000</v>
      </c>
      <c r="M343" s="2">
        <v>2910000</v>
      </c>
      <c r="N343">
        <v>73</v>
      </c>
      <c r="O343">
        <v>6.2</v>
      </c>
      <c r="P343" t="s">
        <v>20</v>
      </c>
      <c r="Q343" t="s">
        <v>16</v>
      </c>
      <c r="R343" s="2">
        <f>Table4[[#This Row],[total_followers]]/(Table4[[#This Row],[total_time_streamed]] / 60)</f>
        <v>4550.1648610456896</v>
      </c>
      <c r="S343" t="str">
        <f>IF(Table4[[#This Row],[avg_games_per_stream]] &gt; 2, "Variety", "Focused")</f>
        <v>Focused</v>
      </c>
      <c r="T343" s="4">
        <f>Table4[[#This Row],[avg_viewers_per_stream]] / Table4[[#This Row],[total_followers]]</f>
        <v>1.8871635610766045E-3</v>
      </c>
    </row>
    <row r="344" spans="1:20">
      <c r="A344">
        <v>344</v>
      </c>
      <c r="B344" t="s">
        <v>500</v>
      </c>
      <c r="C344" t="s">
        <v>3</v>
      </c>
      <c r="D344" t="s">
        <v>39</v>
      </c>
      <c r="E344" t="s">
        <v>40</v>
      </c>
      <c r="F344" t="s">
        <v>66</v>
      </c>
      <c r="G344" s="3">
        <v>4.8</v>
      </c>
      <c r="H344">
        <v>3710</v>
      </c>
      <c r="I344">
        <v>6586</v>
      </c>
      <c r="J344">
        <v>1.7</v>
      </c>
      <c r="K344">
        <v>6199</v>
      </c>
      <c r="L344" s="2">
        <v>495000</v>
      </c>
      <c r="M344" s="2">
        <v>8790000</v>
      </c>
      <c r="N344">
        <v>290</v>
      </c>
      <c r="O344">
        <v>4.3</v>
      </c>
      <c r="P344" t="s">
        <v>20</v>
      </c>
      <c r="Q344" t="s">
        <v>16</v>
      </c>
      <c r="R344" s="2">
        <f>Table4[[#This Row],[total_followers]]/(Table4[[#This Row],[total_time_streamed]] / 60)</f>
        <v>4791.095337957735</v>
      </c>
      <c r="S344" t="str">
        <f>IF(Table4[[#This Row],[avg_games_per_stream]] &gt; 2, "Variety", "Focused")</f>
        <v>Focused</v>
      </c>
      <c r="T344" s="4">
        <f>Table4[[#This Row],[avg_viewers_per_stream]] / Table4[[#This Row],[total_followers]]</f>
        <v>1.3305050505050505E-2</v>
      </c>
    </row>
    <row r="345" spans="1:20">
      <c r="A345">
        <v>345</v>
      </c>
      <c r="B345" t="s">
        <v>501</v>
      </c>
      <c r="C345" t="s">
        <v>63</v>
      </c>
      <c r="D345" t="s">
        <v>39</v>
      </c>
      <c r="E345" t="s">
        <v>502</v>
      </c>
      <c r="F345" t="s">
        <v>503</v>
      </c>
      <c r="G345" s="3">
        <v>7</v>
      </c>
      <c r="H345">
        <v>1960</v>
      </c>
      <c r="I345">
        <v>20779</v>
      </c>
      <c r="J345">
        <v>1.5</v>
      </c>
      <c r="K345">
        <v>14745</v>
      </c>
      <c r="L345" s="2">
        <v>385000</v>
      </c>
      <c r="M345" s="2">
        <v>41300000</v>
      </c>
      <c r="N345">
        <v>157</v>
      </c>
      <c r="O345">
        <v>6.4</v>
      </c>
      <c r="P345" t="s">
        <v>17</v>
      </c>
      <c r="Q345" t="s">
        <v>18</v>
      </c>
      <c r="R345" s="2">
        <f>Table4[[#This Row],[total_followers]]/(Table4[[#This Row],[total_time_streamed]] / 60)</f>
        <v>1566.6327568667346</v>
      </c>
      <c r="S345" t="str">
        <f>IF(Table4[[#This Row],[avg_games_per_stream]] &gt; 2, "Variety", "Focused")</f>
        <v>Focused</v>
      </c>
      <c r="T345" s="4">
        <f>Table4[[#This Row],[avg_viewers_per_stream]] / Table4[[#This Row],[total_followers]]</f>
        <v>5.3971428571428573E-2</v>
      </c>
    </row>
    <row r="346" spans="1:20">
      <c r="A346">
        <v>346</v>
      </c>
      <c r="B346" t="s">
        <v>504</v>
      </c>
      <c r="C346" t="s">
        <v>61</v>
      </c>
      <c r="D346" t="s">
        <v>39</v>
      </c>
      <c r="E346" t="s">
        <v>12</v>
      </c>
      <c r="F346" t="s">
        <v>51</v>
      </c>
      <c r="G346" s="3">
        <v>23.8</v>
      </c>
      <c r="H346">
        <v>5980</v>
      </c>
      <c r="I346">
        <v>24018</v>
      </c>
      <c r="J346">
        <v>9.3000000000000007</v>
      </c>
      <c r="K346">
        <v>3435</v>
      </c>
      <c r="L346" s="2">
        <v>568000</v>
      </c>
      <c r="M346" s="2">
        <v>21400000</v>
      </c>
      <c r="N346">
        <v>355</v>
      </c>
      <c r="O346">
        <v>4.2</v>
      </c>
      <c r="P346" t="s">
        <v>15</v>
      </c>
      <c r="Q346" t="s">
        <v>15</v>
      </c>
      <c r="R346" s="2">
        <f>Table4[[#This Row],[total_followers]]/(Table4[[#This Row],[total_time_streamed]] / 60)</f>
        <v>9921.3973799126634</v>
      </c>
      <c r="S346" t="str">
        <f>IF(Table4[[#This Row],[avg_games_per_stream]] &gt; 2, "Variety", "Focused")</f>
        <v>Variety</v>
      </c>
      <c r="T346" s="4">
        <f>Table4[[#This Row],[avg_viewers_per_stream]] / Table4[[#This Row],[total_followers]]</f>
        <v>4.2285211267605635E-2</v>
      </c>
    </row>
    <row r="347" spans="1:20">
      <c r="A347">
        <v>347</v>
      </c>
      <c r="B347" t="s">
        <v>505</v>
      </c>
      <c r="C347" t="s">
        <v>3</v>
      </c>
      <c r="D347" t="s">
        <v>39</v>
      </c>
      <c r="E347" t="s">
        <v>46</v>
      </c>
      <c r="F347" t="s">
        <v>41</v>
      </c>
      <c r="G347" s="3">
        <v>5.7</v>
      </c>
      <c r="H347">
        <v>5530</v>
      </c>
      <c r="I347">
        <v>8635</v>
      </c>
      <c r="J347">
        <v>1.1000000000000001</v>
      </c>
      <c r="K347">
        <v>6245</v>
      </c>
      <c r="L347" s="2">
        <v>580000</v>
      </c>
      <c r="M347" s="2">
        <v>9060000</v>
      </c>
      <c r="N347">
        <v>30</v>
      </c>
      <c r="O347">
        <v>3.1</v>
      </c>
      <c r="P347" t="s">
        <v>20</v>
      </c>
      <c r="Q347" t="s">
        <v>14</v>
      </c>
      <c r="R347" s="2">
        <f>Table4[[#This Row],[total_followers]]/(Table4[[#This Row],[total_time_streamed]] / 60)</f>
        <v>5572.4579663730983</v>
      </c>
      <c r="S347" t="str">
        <f>IF(Table4[[#This Row],[avg_games_per_stream]] &gt; 2, "Variety", "Focused")</f>
        <v>Focused</v>
      </c>
      <c r="T347" s="4">
        <f>Table4[[#This Row],[avg_viewers_per_stream]] / Table4[[#This Row],[total_followers]]</f>
        <v>1.4887931034482759E-2</v>
      </c>
    </row>
    <row r="348" spans="1:20">
      <c r="A348">
        <v>348</v>
      </c>
      <c r="B348" t="s">
        <v>506</v>
      </c>
      <c r="C348" t="s">
        <v>91</v>
      </c>
      <c r="D348" t="s">
        <v>39</v>
      </c>
      <c r="E348" t="s">
        <v>40</v>
      </c>
      <c r="F348" t="s">
        <v>156</v>
      </c>
      <c r="G348" s="3">
        <v>4.2</v>
      </c>
      <c r="H348">
        <v>3210</v>
      </c>
      <c r="I348">
        <v>6030</v>
      </c>
      <c r="J348">
        <v>2.7</v>
      </c>
      <c r="K348">
        <v>4756</v>
      </c>
      <c r="L348" s="2">
        <v>355000</v>
      </c>
      <c r="M348" s="2">
        <v>665000</v>
      </c>
      <c r="N348">
        <v>410</v>
      </c>
      <c r="O348">
        <v>4.2</v>
      </c>
      <c r="P348" t="s">
        <v>17</v>
      </c>
      <c r="Q348" t="s">
        <v>14</v>
      </c>
      <c r="R348" s="2">
        <f>Table4[[#This Row],[total_followers]]/(Table4[[#This Row],[total_time_streamed]] / 60)</f>
        <v>4478.5534062237175</v>
      </c>
      <c r="S348" t="str">
        <f>IF(Table4[[#This Row],[avg_games_per_stream]] &gt; 2, "Variety", "Focused")</f>
        <v>Variety</v>
      </c>
      <c r="T348" s="4">
        <f>Table4[[#This Row],[avg_viewers_per_stream]] / Table4[[#This Row],[total_followers]]</f>
        <v>1.6985915492957745E-2</v>
      </c>
    </row>
    <row r="349" spans="1:20">
      <c r="A349">
        <v>349</v>
      </c>
      <c r="B349" t="s">
        <v>507</v>
      </c>
      <c r="C349" t="s">
        <v>3</v>
      </c>
      <c r="D349" t="s">
        <v>39</v>
      </c>
      <c r="E349" t="s">
        <v>54</v>
      </c>
      <c r="F349" t="s">
        <v>88</v>
      </c>
      <c r="G349" s="3">
        <v>5.5</v>
      </c>
      <c r="H349">
        <v>1427</v>
      </c>
      <c r="I349">
        <v>26147</v>
      </c>
      <c r="J349">
        <v>1.2</v>
      </c>
      <c r="K349">
        <v>5773</v>
      </c>
      <c r="L349" s="2">
        <v>2049999</v>
      </c>
      <c r="M349" s="2">
        <v>62400000</v>
      </c>
      <c r="N349">
        <v>52</v>
      </c>
      <c r="O349">
        <v>2.7</v>
      </c>
      <c r="P349" t="s">
        <v>19</v>
      </c>
      <c r="Q349" t="s">
        <v>19</v>
      </c>
      <c r="R349" s="2">
        <f>Table4[[#This Row],[total_followers]]/(Table4[[#This Row],[total_time_streamed]] / 60)</f>
        <v>21306.069634505457</v>
      </c>
      <c r="S349" t="str">
        <f>IF(Table4[[#This Row],[avg_games_per_stream]] &gt; 2, "Variety", "Focused")</f>
        <v>Focused</v>
      </c>
      <c r="T349" s="4">
        <f>Table4[[#This Row],[avg_viewers_per_stream]] / Table4[[#This Row],[total_followers]]</f>
        <v>1.2754640368117253E-2</v>
      </c>
    </row>
    <row r="350" spans="1:20">
      <c r="A350">
        <v>350</v>
      </c>
      <c r="B350" t="s">
        <v>508</v>
      </c>
      <c r="C350" t="s">
        <v>63</v>
      </c>
      <c r="D350" t="s">
        <v>39</v>
      </c>
      <c r="E350" t="s">
        <v>64</v>
      </c>
      <c r="F350" t="s">
        <v>40</v>
      </c>
      <c r="G350" s="3">
        <v>4.3</v>
      </c>
      <c r="H350">
        <v>1213</v>
      </c>
      <c r="I350">
        <v>630</v>
      </c>
      <c r="J350">
        <v>2.2000000000000002</v>
      </c>
      <c r="K350">
        <v>1635</v>
      </c>
      <c r="L350" s="2">
        <v>466000</v>
      </c>
      <c r="M350" s="2">
        <v>24800</v>
      </c>
      <c r="N350">
        <v>89</v>
      </c>
      <c r="O350">
        <v>1.7</v>
      </c>
      <c r="P350" t="s">
        <v>15</v>
      </c>
      <c r="Q350" t="s">
        <v>16</v>
      </c>
      <c r="R350" s="2">
        <f>Table4[[#This Row],[total_followers]]/(Table4[[#This Row],[total_time_streamed]] / 60)</f>
        <v>17100.917431192662</v>
      </c>
      <c r="S350" t="str">
        <f>IF(Table4[[#This Row],[avg_games_per_stream]] &gt; 2, "Variety", "Focused")</f>
        <v>Variety</v>
      </c>
      <c r="T350" s="4">
        <f>Table4[[#This Row],[avg_viewers_per_stream]] / Table4[[#This Row],[total_followers]]</f>
        <v>1.351931330472103E-3</v>
      </c>
    </row>
    <row r="351" spans="1:20">
      <c r="A351">
        <v>351</v>
      </c>
      <c r="B351" t="s">
        <v>509</v>
      </c>
      <c r="C351" t="s">
        <v>6</v>
      </c>
      <c r="D351" t="s">
        <v>39</v>
      </c>
      <c r="E351" t="s">
        <v>66</v>
      </c>
      <c r="F351" t="s">
        <v>40</v>
      </c>
      <c r="G351" s="3">
        <v>2.9</v>
      </c>
      <c r="H351">
        <v>6090</v>
      </c>
      <c r="I351">
        <v>1557</v>
      </c>
      <c r="J351">
        <v>1.7</v>
      </c>
      <c r="K351">
        <v>1835</v>
      </c>
      <c r="L351" s="2">
        <v>345000</v>
      </c>
      <c r="M351" s="2">
        <v>881000</v>
      </c>
      <c r="N351">
        <v>30</v>
      </c>
      <c r="O351">
        <v>1.7</v>
      </c>
      <c r="P351" t="s">
        <v>16</v>
      </c>
      <c r="Q351" t="s">
        <v>16</v>
      </c>
      <c r="R351" s="2">
        <f>Table4[[#This Row],[total_followers]]/(Table4[[#This Row],[total_time_streamed]] / 60)</f>
        <v>11280.65395095368</v>
      </c>
      <c r="S351" t="str">
        <f>IF(Table4[[#This Row],[avg_games_per_stream]] &gt; 2, "Variety", "Focused")</f>
        <v>Focused</v>
      </c>
      <c r="T351" s="4">
        <f>Table4[[#This Row],[avg_viewers_per_stream]] / Table4[[#This Row],[total_followers]]</f>
        <v>4.5130434782608697E-3</v>
      </c>
    </row>
    <row r="352" spans="1:20">
      <c r="A352">
        <v>352</v>
      </c>
      <c r="B352" t="s">
        <v>510</v>
      </c>
      <c r="C352" t="s">
        <v>5</v>
      </c>
      <c r="D352" t="s">
        <v>39</v>
      </c>
      <c r="E352" t="s">
        <v>46</v>
      </c>
      <c r="F352" t="s">
        <v>109</v>
      </c>
      <c r="G352" s="3">
        <v>7.5</v>
      </c>
      <c r="H352">
        <v>850</v>
      </c>
      <c r="I352">
        <v>6458</v>
      </c>
      <c r="J352">
        <v>1.3</v>
      </c>
      <c r="K352">
        <v>15069</v>
      </c>
      <c r="L352" s="2">
        <v>177000</v>
      </c>
      <c r="M352" s="2">
        <v>13400000</v>
      </c>
      <c r="N352">
        <v>174</v>
      </c>
      <c r="O352">
        <v>5.0999999999999996</v>
      </c>
      <c r="P352" t="s">
        <v>19</v>
      </c>
      <c r="Q352" t="s">
        <v>16</v>
      </c>
      <c r="R352" s="2">
        <f>Table4[[#This Row],[total_followers]]/(Table4[[#This Row],[total_time_streamed]] / 60)</f>
        <v>704.75811268166433</v>
      </c>
      <c r="S352" t="str">
        <f>IF(Table4[[#This Row],[avg_games_per_stream]] &gt; 2, "Variety", "Focused")</f>
        <v>Focused</v>
      </c>
      <c r="T352" s="4">
        <f>Table4[[#This Row],[avg_viewers_per_stream]] / Table4[[#This Row],[total_followers]]</f>
        <v>3.6485875706214692E-2</v>
      </c>
    </row>
    <row r="353" spans="1:20">
      <c r="A353">
        <v>353</v>
      </c>
      <c r="B353" t="s">
        <v>511</v>
      </c>
      <c r="C353" t="s">
        <v>3</v>
      </c>
      <c r="D353" t="s">
        <v>39</v>
      </c>
      <c r="E353" t="s">
        <v>46</v>
      </c>
      <c r="F353" t="s">
        <v>512</v>
      </c>
      <c r="G353" s="3">
        <v>5.7</v>
      </c>
      <c r="H353">
        <v>5530</v>
      </c>
      <c r="I353">
        <v>10187</v>
      </c>
      <c r="J353">
        <v>1</v>
      </c>
      <c r="K353">
        <v>5336</v>
      </c>
      <c r="L353" s="2">
        <v>524000</v>
      </c>
      <c r="M353" s="2">
        <v>9650000</v>
      </c>
      <c r="N353">
        <v>19</v>
      </c>
      <c r="O353">
        <v>2.5</v>
      </c>
      <c r="P353" t="s">
        <v>17</v>
      </c>
      <c r="Q353" t="s">
        <v>14</v>
      </c>
      <c r="R353" s="2">
        <f>Table4[[#This Row],[total_followers]]/(Table4[[#This Row],[total_time_streamed]] / 60)</f>
        <v>5892.0539730134933</v>
      </c>
      <c r="S353" t="str">
        <f>IF(Table4[[#This Row],[avg_games_per_stream]] &gt; 2, "Variety", "Focused")</f>
        <v>Focused</v>
      </c>
      <c r="T353" s="4">
        <f>Table4[[#This Row],[avg_viewers_per_stream]] / Table4[[#This Row],[total_followers]]</f>
        <v>1.944083969465649E-2</v>
      </c>
    </row>
    <row r="354" spans="1:20">
      <c r="A354">
        <v>354</v>
      </c>
      <c r="B354" t="s">
        <v>513</v>
      </c>
      <c r="C354" t="s">
        <v>6</v>
      </c>
      <c r="D354" t="s">
        <v>39</v>
      </c>
      <c r="E354" t="s">
        <v>54</v>
      </c>
      <c r="F354" t="s">
        <v>46</v>
      </c>
      <c r="G354" s="3">
        <v>5.7</v>
      </c>
      <c r="H354">
        <v>6440</v>
      </c>
      <c r="I354">
        <v>16366</v>
      </c>
      <c r="J354">
        <v>1.2</v>
      </c>
      <c r="K354">
        <v>553</v>
      </c>
      <c r="L354" s="2">
        <v>682000</v>
      </c>
      <c r="M354" s="2">
        <v>17300000</v>
      </c>
      <c r="N354">
        <v>48</v>
      </c>
      <c r="O354">
        <v>2.9</v>
      </c>
      <c r="P354" t="s">
        <v>19</v>
      </c>
      <c r="Q354" t="s">
        <v>14</v>
      </c>
      <c r="R354" s="2">
        <f>Table4[[#This Row],[total_followers]]/(Table4[[#This Row],[total_time_streamed]] / 60)</f>
        <v>73996.383363471963</v>
      </c>
      <c r="S354" t="str">
        <f>IF(Table4[[#This Row],[avg_games_per_stream]] &gt; 2, "Variety", "Focused")</f>
        <v>Focused</v>
      </c>
      <c r="T354" s="4">
        <f>Table4[[#This Row],[avg_viewers_per_stream]] / Table4[[#This Row],[total_followers]]</f>
        <v>2.399706744868035E-2</v>
      </c>
    </row>
    <row r="355" spans="1:20">
      <c r="A355">
        <v>355</v>
      </c>
      <c r="B355" t="s">
        <v>514</v>
      </c>
      <c r="C355" t="s">
        <v>4</v>
      </c>
      <c r="D355" t="s">
        <v>39</v>
      </c>
      <c r="E355" t="s">
        <v>40</v>
      </c>
      <c r="F355" t="s">
        <v>515</v>
      </c>
      <c r="G355" s="3">
        <v>2.2999999999999998</v>
      </c>
      <c r="H355">
        <v>3445</v>
      </c>
      <c r="I355">
        <v>40</v>
      </c>
      <c r="J355">
        <v>1</v>
      </c>
      <c r="K355">
        <v>2310</v>
      </c>
      <c r="L355" s="2">
        <v>345000</v>
      </c>
      <c r="M355" s="2">
        <v>350</v>
      </c>
      <c r="N355">
        <v>2</v>
      </c>
      <c r="O355">
        <v>0.7</v>
      </c>
      <c r="P355" t="s">
        <v>14</v>
      </c>
      <c r="Q355" t="s">
        <v>14</v>
      </c>
      <c r="R355" s="2">
        <f>Table4[[#This Row],[total_followers]]/(Table4[[#This Row],[total_time_streamed]] / 60)</f>
        <v>8961.0389610389611</v>
      </c>
      <c r="S355" t="str">
        <f>IF(Table4[[#This Row],[avg_games_per_stream]] &gt; 2, "Variety", "Focused")</f>
        <v>Focused</v>
      </c>
      <c r="T355" s="4">
        <f>Table4[[#This Row],[avg_viewers_per_stream]] / Table4[[#This Row],[total_followers]]</f>
        <v>1.1594202898550724E-4</v>
      </c>
    </row>
    <row r="356" spans="1:20">
      <c r="A356">
        <v>356</v>
      </c>
      <c r="B356" t="s">
        <v>516</v>
      </c>
      <c r="C356" t="s">
        <v>5</v>
      </c>
      <c r="D356" t="s">
        <v>39</v>
      </c>
      <c r="E356" t="s">
        <v>96</v>
      </c>
      <c r="F356" t="s">
        <v>66</v>
      </c>
      <c r="G356" s="3">
        <v>5.4</v>
      </c>
      <c r="H356">
        <v>8620</v>
      </c>
      <c r="I356">
        <v>0</v>
      </c>
      <c r="J356">
        <v>1.1000000000000001</v>
      </c>
      <c r="K356">
        <v>1004</v>
      </c>
      <c r="L356" s="2">
        <v>178000</v>
      </c>
      <c r="M356" s="2">
        <v>272</v>
      </c>
      <c r="N356">
        <v>20</v>
      </c>
      <c r="O356">
        <v>1.9</v>
      </c>
      <c r="P356" t="s">
        <v>20</v>
      </c>
      <c r="Q356" t="s">
        <v>14</v>
      </c>
      <c r="R356" s="2">
        <f>Table4[[#This Row],[total_followers]]/(Table4[[#This Row],[total_time_streamed]] / 60)</f>
        <v>10637.450199203187</v>
      </c>
      <c r="S356" t="str">
        <f>IF(Table4[[#This Row],[avg_games_per_stream]] &gt; 2, "Variety", "Focused")</f>
        <v>Focused</v>
      </c>
      <c r="T356" s="4">
        <f>Table4[[#This Row],[avg_viewers_per_stream]] / Table4[[#This Row],[total_followers]]</f>
        <v>0</v>
      </c>
    </row>
    <row r="357" spans="1:20">
      <c r="A357">
        <v>357</v>
      </c>
      <c r="B357" t="s">
        <v>517</v>
      </c>
      <c r="C357" t="s">
        <v>3</v>
      </c>
      <c r="D357" t="s">
        <v>39</v>
      </c>
      <c r="E357" t="s">
        <v>40</v>
      </c>
      <c r="F357" t="s">
        <v>518</v>
      </c>
      <c r="G357" s="3">
        <v>5.2</v>
      </c>
      <c r="H357">
        <v>2455</v>
      </c>
      <c r="I357">
        <v>26988</v>
      </c>
      <c r="J357">
        <v>1.5</v>
      </c>
      <c r="K357">
        <v>9722</v>
      </c>
      <c r="L357" s="2">
        <v>5400000</v>
      </c>
      <c r="M357" s="2">
        <v>59300000</v>
      </c>
      <c r="N357">
        <v>460</v>
      </c>
      <c r="O357">
        <v>6.2</v>
      </c>
      <c r="P357" t="s">
        <v>20</v>
      </c>
      <c r="Q357" t="s">
        <v>18</v>
      </c>
      <c r="R357" s="2">
        <f>Table4[[#This Row],[total_followers]]/(Table4[[#This Row],[total_time_streamed]] / 60)</f>
        <v>33326.476033737912</v>
      </c>
      <c r="S357" t="str">
        <f>IF(Table4[[#This Row],[avg_games_per_stream]] &gt; 2, "Variety", "Focused")</f>
        <v>Focused</v>
      </c>
      <c r="T357" s="4">
        <f>Table4[[#This Row],[avg_viewers_per_stream]] / Table4[[#This Row],[total_followers]]</f>
        <v>4.9977777777777781E-3</v>
      </c>
    </row>
    <row r="358" spans="1:20">
      <c r="A358">
        <v>358</v>
      </c>
      <c r="B358" t="s">
        <v>519</v>
      </c>
      <c r="C358" t="s">
        <v>6</v>
      </c>
      <c r="D358" t="s">
        <v>39</v>
      </c>
      <c r="E358" t="s">
        <v>85</v>
      </c>
      <c r="F358" t="s">
        <v>74</v>
      </c>
      <c r="G358" s="3">
        <v>21.6</v>
      </c>
      <c r="H358">
        <v>920</v>
      </c>
      <c r="I358">
        <v>250</v>
      </c>
      <c r="J358">
        <v>1</v>
      </c>
      <c r="K358">
        <v>5714</v>
      </c>
      <c r="L358" s="2">
        <v>16100</v>
      </c>
      <c r="M358" s="2">
        <v>7900</v>
      </c>
      <c r="N358">
        <v>3</v>
      </c>
      <c r="O358">
        <v>0.8</v>
      </c>
      <c r="P358" t="s">
        <v>17</v>
      </c>
      <c r="Q358" t="s">
        <v>18</v>
      </c>
      <c r="R358" s="2">
        <f>Table4[[#This Row],[total_followers]]/(Table4[[#This Row],[total_time_streamed]] / 60)</f>
        <v>169.05845292264613</v>
      </c>
      <c r="S358" t="str">
        <f>IF(Table4[[#This Row],[avg_games_per_stream]] &gt; 2, "Variety", "Focused")</f>
        <v>Focused</v>
      </c>
      <c r="T358" s="4">
        <f>Table4[[#This Row],[avg_viewers_per_stream]] / Table4[[#This Row],[total_followers]]</f>
        <v>1.5527950310559006E-2</v>
      </c>
    </row>
    <row r="359" spans="1:20">
      <c r="A359">
        <v>359</v>
      </c>
      <c r="B359" t="s">
        <v>520</v>
      </c>
      <c r="C359" t="s">
        <v>3</v>
      </c>
      <c r="D359" t="s">
        <v>39</v>
      </c>
      <c r="E359" t="s">
        <v>123</v>
      </c>
      <c r="F359" t="s">
        <v>46</v>
      </c>
      <c r="G359" s="3">
        <v>6.8</v>
      </c>
      <c r="H359">
        <v>5640</v>
      </c>
      <c r="I359">
        <v>29058</v>
      </c>
      <c r="J359">
        <v>1.9</v>
      </c>
      <c r="K359">
        <v>15166</v>
      </c>
      <c r="L359" s="2">
        <v>2120000</v>
      </c>
      <c r="M359" s="2">
        <v>125000000</v>
      </c>
      <c r="N359">
        <v>166</v>
      </c>
      <c r="O359">
        <v>5.7</v>
      </c>
      <c r="P359" t="s">
        <v>18</v>
      </c>
      <c r="Q359" t="s">
        <v>19</v>
      </c>
      <c r="R359" s="2">
        <f>Table4[[#This Row],[total_followers]]/(Table4[[#This Row],[total_time_streamed]] / 60)</f>
        <v>8387.1818541474349</v>
      </c>
      <c r="S359" t="str">
        <f>IF(Table4[[#This Row],[avg_games_per_stream]] &gt; 2, "Variety", "Focused")</f>
        <v>Focused</v>
      </c>
      <c r="T359" s="4">
        <f>Table4[[#This Row],[avg_viewers_per_stream]] / Table4[[#This Row],[total_followers]]</f>
        <v>1.3706603773584906E-2</v>
      </c>
    </row>
    <row r="360" spans="1:20">
      <c r="A360">
        <v>360</v>
      </c>
      <c r="B360" t="s">
        <v>521</v>
      </c>
      <c r="C360" t="s">
        <v>7</v>
      </c>
      <c r="D360" t="s">
        <v>39</v>
      </c>
      <c r="E360" t="s">
        <v>40</v>
      </c>
      <c r="F360" t="s">
        <v>74</v>
      </c>
      <c r="G360" s="3">
        <v>2.9</v>
      </c>
      <c r="H360">
        <v>6457</v>
      </c>
      <c r="I360">
        <v>1518</v>
      </c>
      <c r="J360">
        <v>2</v>
      </c>
      <c r="K360">
        <v>2712</v>
      </c>
      <c r="L360" s="2">
        <v>4570000</v>
      </c>
      <c r="M360" s="2">
        <v>10700000</v>
      </c>
      <c r="N360">
        <v>203</v>
      </c>
      <c r="O360">
        <v>3.1</v>
      </c>
      <c r="P360" t="s">
        <v>17</v>
      </c>
      <c r="Q360" t="s">
        <v>14</v>
      </c>
      <c r="R360" s="2">
        <f>Table4[[#This Row],[total_followers]]/(Table4[[#This Row],[total_time_streamed]] / 60)</f>
        <v>101106.19469026547</v>
      </c>
      <c r="S360" t="str">
        <f>IF(Table4[[#This Row],[avg_games_per_stream]] &gt; 2, "Variety", "Focused")</f>
        <v>Focused</v>
      </c>
      <c r="T360" s="4">
        <f>Table4[[#This Row],[avg_viewers_per_stream]] / Table4[[#This Row],[total_followers]]</f>
        <v>3.3216630196936542E-4</v>
      </c>
    </row>
    <row r="361" spans="1:20">
      <c r="A361">
        <v>361</v>
      </c>
      <c r="B361" t="s">
        <v>522</v>
      </c>
      <c r="C361" t="s">
        <v>5</v>
      </c>
      <c r="D361" t="s">
        <v>39</v>
      </c>
      <c r="E361" t="s">
        <v>441</v>
      </c>
      <c r="F361" t="s">
        <v>96</v>
      </c>
      <c r="G361" s="3">
        <v>11.8</v>
      </c>
      <c r="H361">
        <v>3625</v>
      </c>
      <c r="I361">
        <v>27446</v>
      </c>
      <c r="J361">
        <v>3.1</v>
      </c>
      <c r="K361">
        <v>830</v>
      </c>
      <c r="L361" s="2">
        <v>27200</v>
      </c>
      <c r="M361" s="2">
        <v>211000</v>
      </c>
      <c r="N361">
        <v>14</v>
      </c>
      <c r="O361">
        <v>0</v>
      </c>
      <c r="P361" t="s">
        <v>15</v>
      </c>
      <c r="Q361" t="s">
        <v>15</v>
      </c>
      <c r="R361" s="2">
        <f>Table4[[#This Row],[total_followers]]/(Table4[[#This Row],[total_time_streamed]] / 60)</f>
        <v>1966.2650602409637</v>
      </c>
      <c r="S361" t="str">
        <f>IF(Table4[[#This Row],[avg_games_per_stream]] &gt; 2, "Variety", "Focused")</f>
        <v>Variety</v>
      </c>
      <c r="T361" s="4">
        <f>Table4[[#This Row],[avg_viewers_per_stream]] / Table4[[#This Row],[total_followers]]</f>
        <v>1.0090441176470588</v>
      </c>
    </row>
    <row r="362" spans="1:20">
      <c r="A362">
        <v>362</v>
      </c>
      <c r="B362" t="s">
        <v>523</v>
      </c>
      <c r="C362" t="s">
        <v>3</v>
      </c>
      <c r="D362" t="s">
        <v>39</v>
      </c>
      <c r="E362" t="s">
        <v>524</v>
      </c>
      <c r="F362" t="s">
        <v>40</v>
      </c>
      <c r="G362" s="3">
        <v>7.1</v>
      </c>
      <c r="H362">
        <v>7450</v>
      </c>
      <c r="I362">
        <v>20125</v>
      </c>
      <c r="J362">
        <v>2.1</v>
      </c>
      <c r="K362">
        <v>11517</v>
      </c>
      <c r="L362" s="2">
        <v>1200000</v>
      </c>
      <c r="M362" s="2">
        <v>32500000</v>
      </c>
      <c r="N362">
        <v>692</v>
      </c>
      <c r="O362">
        <v>4.5</v>
      </c>
      <c r="P362" t="s">
        <v>19</v>
      </c>
      <c r="Q362" t="s">
        <v>14</v>
      </c>
      <c r="R362" s="2">
        <f>Table4[[#This Row],[total_followers]]/(Table4[[#This Row],[total_time_streamed]] / 60)</f>
        <v>6251.6280281323261</v>
      </c>
      <c r="S362" t="str">
        <f>IF(Table4[[#This Row],[avg_games_per_stream]] &gt; 2, "Variety", "Focused")</f>
        <v>Variety</v>
      </c>
      <c r="T362" s="4">
        <f>Table4[[#This Row],[avg_viewers_per_stream]] / Table4[[#This Row],[total_followers]]</f>
        <v>1.6770833333333332E-2</v>
      </c>
    </row>
    <row r="363" spans="1:20">
      <c r="A363">
        <v>363</v>
      </c>
      <c r="B363" t="s">
        <v>525</v>
      </c>
      <c r="C363" t="s">
        <v>3</v>
      </c>
      <c r="D363" t="s">
        <v>39</v>
      </c>
      <c r="E363" t="s">
        <v>40</v>
      </c>
      <c r="F363" t="s">
        <v>150</v>
      </c>
      <c r="G363" s="3">
        <v>7.8</v>
      </c>
      <c r="H363">
        <v>1830</v>
      </c>
      <c r="I363">
        <v>7907</v>
      </c>
      <c r="J363">
        <v>1</v>
      </c>
      <c r="K363">
        <v>13565</v>
      </c>
      <c r="L363" s="2">
        <v>323000</v>
      </c>
      <c r="M363" s="2">
        <v>13900000</v>
      </c>
      <c r="N363">
        <v>31</v>
      </c>
      <c r="O363">
        <v>4.9000000000000004</v>
      </c>
      <c r="P363" t="s">
        <v>15</v>
      </c>
      <c r="Q363" t="s">
        <v>14</v>
      </c>
      <c r="R363" s="2">
        <f>Table4[[#This Row],[total_followers]]/(Table4[[#This Row],[total_time_streamed]] / 60)</f>
        <v>1428.6767416144489</v>
      </c>
      <c r="S363" t="str">
        <f>IF(Table4[[#This Row],[avg_games_per_stream]] &gt; 2, "Variety", "Focused")</f>
        <v>Focused</v>
      </c>
      <c r="T363" s="4">
        <f>Table4[[#This Row],[avg_viewers_per_stream]] / Table4[[#This Row],[total_followers]]</f>
        <v>2.4479876160990711E-2</v>
      </c>
    </row>
    <row r="364" spans="1:20">
      <c r="A364">
        <v>364</v>
      </c>
      <c r="B364" t="s">
        <v>526</v>
      </c>
      <c r="C364" t="s">
        <v>3</v>
      </c>
      <c r="D364" t="s">
        <v>39</v>
      </c>
      <c r="E364" t="s">
        <v>79</v>
      </c>
      <c r="F364" t="s">
        <v>93</v>
      </c>
      <c r="G364" s="3">
        <v>8.1999999999999993</v>
      </c>
      <c r="H364">
        <v>3830</v>
      </c>
      <c r="I364">
        <v>16892</v>
      </c>
      <c r="J364">
        <v>1.1000000000000001</v>
      </c>
      <c r="K364">
        <v>19907</v>
      </c>
      <c r="L364" s="2">
        <v>983000</v>
      </c>
      <c r="M364" s="2">
        <v>42400000</v>
      </c>
      <c r="N364">
        <v>60</v>
      </c>
      <c r="O364">
        <v>6.2</v>
      </c>
      <c r="P364" t="s">
        <v>19</v>
      </c>
      <c r="Q364" t="s">
        <v>19</v>
      </c>
      <c r="R364" s="2">
        <f>Table4[[#This Row],[total_followers]]/(Table4[[#This Row],[total_time_streamed]] / 60)</f>
        <v>2962.7769126437934</v>
      </c>
      <c r="S364" t="str">
        <f>IF(Table4[[#This Row],[avg_games_per_stream]] &gt; 2, "Variety", "Focused")</f>
        <v>Focused</v>
      </c>
      <c r="T364" s="4">
        <f>Table4[[#This Row],[avg_viewers_per_stream]] / Table4[[#This Row],[total_followers]]</f>
        <v>1.718413021363174E-2</v>
      </c>
    </row>
    <row r="365" spans="1:20">
      <c r="A365">
        <v>365</v>
      </c>
      <c r="B365" t="s">
        <v>527</v>
      </c>
      <c r="C365" t="s">
        <v>5</v>
      </c>
      <c r="D365" t="s">
        <v>39</v>
      </c>
      <c r="E365" t="s">
        <v>12</v>
      </c>
      <c r="F365" t="s">
        <v>528</v>
      </c>
      <c r="G365" s="3">
        <v>9.8000000000000007</v>
      </c>
      <c r="H365">
        <v>2837</v>
      </c>
      <c r="I365">
        <v>61458</v>
      </c>
      <c r="J365">
        <v>3.2</v>
      </c>
      <c r="K365">
        <v>1760</v>
      </c>
      <c r="L365" s="2">
        <v>49000</v>
      </c>
      <c r="M365" s="2">
        <v>1110000</v>
      </c>
      <c r="N365">
        <v>24</v>
      </c>
      <c r="O365">
        <v>0</v>
      </c>
      <c r="P365" t="s">
        <v>15</v>
      </c>
      <c r="Q365" t="s">
        <v>14</v>
      </c>
      <c r="R365" s="2">
        <f>Table4[[#This Row],[total_followers]]/(Table4[[#This Row],[total_time_streamed]] / 60)</f>
        <v>1670.4545454545455</v>
      </c>
      <c r="S365" t="str">
        <f>IF(Table4[[#This Row],[avg_games_per_stream]] &gt; 2, "Variety", "Focused")</f>
        <v>Variety</v>
      </c>
      <c r="T365" s="4">
        <f>Table4[[#This Row],[avg_viewers_per_stream]] / Table4[[#This Row],[total_followers]]</f>
        <v>1.2542448979591836</v>
      </c>
    </row>
    <row r="366" spans="1:20">
      <c r="A366">
        <v>366</v>
      </c>
      <c r="B366" t="s">
        <v>529</v>
      </c>
      <c r="C366" t="s">
        <v>5</v>
      </c>
      <c r="D366" t="s">
        <v>39</v>
      </c>
      <c r="E366" t="s">
        <v>40</v>
      </c>
      <c r="F366" t="s">
        <v>68</v>
      </c>
      <c r="G366" s="3">
        <v>2.5</v>
      </c>
      <c r="H366">
        <v>229</v>
      </c>
      <c r="I366">
        <v>830</v>
      </c>
      <c r="J366">
        <v>1.3</v>
      </c>
      <c r="K366">
        <v>2530</v>
      </c>
      <c r="L366" s="2">
        <v>241000</v>
      </c>
      <c r="M366" s="2">
        <v>13000</v>
      </c>
      <c r="N366">
        <v>17</v>
      </c>
      <c r="O366">
        <v>0.7</v>
      </c>
      <c r="P366" t="s">
        <v>18</v>
      </c>
      <c r="Q366" t="s">
        <v>14</v>
      </c>
      <c r="R366" s="2">
        <f>Table4[[#This Row],[total_followers]]/(Table4[[#This Row],[total_time_streamed]] / 60)</f>
        <v>5715.415019762846</v>
      </c>
      <c r="S366" t="str">
        <f>IF(Table4[[#This Row],[avg_games_per_stream]] &gt; 2, "Variety", "Focused")</f>
        <v>Focused</v>
      </c>
      <c r="T366" s="4">
        <f>Table4[[#This Row],[avg_viewers_per_stream]] / Table4[[#This Row],[total_followers]]</f>
        <v>3.4439834024896266E-3</v>
      </c>
    </row>
    <row r="367" spans="1:20">
      <c r="A367">
        <v>367</v>
      </c>
      <c r="B367" t="s">
        <v>530</v>
      </c>
      <c r="C367" t="s">
        <v>5</v>
      </c>
      <c r="D367" t="s">
        <v>39</v>
      </c>
      <c r="E367" t="s">
        <v>54</v>
      </c>
      <c r="F367" t="s">
        <v>68</v>
      </c>
      <c r="G367" s="3">
        <v>7</v>
      </c>
      <c r="H367">
        <v>1312</v>
      </c>
      <c r="I367">
        <v>5616</v>
      </c>
      <c r="J367">
        <v>1.4</v>
      </c>
      <c r="K367">
        <v>6820</v>
      </c>
      <c r="L367" s="2">
        <v>135000</v>
      </c>
      <c r="M367" s="2">
        <v>579000</v>
      </c>
      <c r="N367">
        <v>23</v>
      </c>
      <c r="O367">
        <v>0.6</v>
      </c>
      <c r="P367" t="s">
        <v>14</v>
      </c>
      <c r="Q367" t="s">
        <v>17</v>
      </c>
      <c r="R367" s="2">
        <f>Table4[[#This Row],[total_followers]]/(Table4[[#This Row],[total_time_streamed]] / 60)</f>
        <v>1187.6832844574781</v>
      </c>
      <c r="S367" t="str">
        <f>IF(Table4[[#This Row],[avg_games_per_stream]] &gt; 2, "Variety", "Focused")</f>
        <v>Focused</v>
      </c>
      <c r="T367" s="4">
        <f>Table4[[#This Row],[avg_viewers_per_stream]] / Table4[[#This Row],[total_followers]]</f>
        <v>4.1599999999999998E-2</v>
      </c>
    </row>
    <row r="368" spans="1:20">
      <c r="A368">
        <v>368</v>
      </c>
      <c r="B368" t="s">
        <v>531</v>
      </c>
      <c r="C368" t="s">
        <v>160</v>
      </c>
      <c r="D368" t="s">
        <v>39</v>
      </c>
      <c r="E368" t="s">
        <v>46</v>
      </c>
      <c r="F368" t="s">
        <v>40</v>
      </c>
      <c r="G368" s="3">
        <v>4.7</v>
      </c>
      <c r="H368">
        <v>6960</v>
      </c>
      <c r="I368">
        <v>16114</v>
      </c>
      <c r="J368">
        <v>1.7</v>
      </c>
      <c r="K368">
        <v>335</v>
      </c>
      <c r="L368" s="2">
        <v>385000</v>
      </c>
      <c r="M368" s="2">
        <v>8910000</v>
      </c>
      <c r="N368">
        <v>105</v>
      </c>
      <c r="O368">
        <v>3.5</v>
      </c>
      <c r="P368" t="s">
        <v>18</v>
      </c>
      <c r="Q368" t="s">
        <v>16</v>
      </c>
      <c r="R368" s="2">
        <f>Table4[[#This Row],[total_followers]]/(Table4[[#This Row],[total_time_streamed]] / 60)</f>
        <v>68955.223880597012</v>
      </c>
      <c r="S368" t="str">
        <f>IF(Table4[[#This Row],[avg_games_per_stream]] &gt; 2, "Variety", "Focused")</f>
        <v>Focused</v>
      </c>
      <c r="T368" s="4">
        <f>Table4[[#This Row],[avg_viewers_per_stream]] / Table4[[#This Row],[total_followers]]</f>
        <v>4.1854545454545457E-2</v>
      </c>
    </row>
    <row r="369" spans="1:20">
      <c r="A369">
        <v>369</v>
      </c>
      <c r="B369" t="s">
        <v>532</v>
      </c>
      <c r="C369" t="s">
        <v>5</v>
      </c>
      <c r="D369" t="s">
        <v>39</v>
      </c>
      <c r="E369" t="s">
        <v>96</v>
      </c>
      <c r="F369" t="s">
        <v>54</v>
      </c>
      <c r="G369" s="3">
        <v>6.3</v>
      </c>
      <c r="H369">
        <v>1270</v>
      </c>
      <c r="I369">
        <v>0</v>
      </c>
      <c r="J369">
        <v>1.3</v>
      </c>
      <c r="K369">
        <v>2423</v>
      </c>
      <c r="L369" s="2">
        <v>60600</v>
      </c>
      <c r="M369" s="2">
        <v>0</v>
      </c>
      <c r="N369">
        <v>58</v>
      </c>
      <c r="O369">
        <v>3.9</v>
      </c>
      <c r="P369" t="s">
        <v>17</v>
      </c>
      <c r="Q369" t="s">
        <v>14</v>
      </c>
      <c r="R369" s="2">
        <f>Table4[[#This Row],[total_followers]]/(Table4[[#This Row],[total_time_streamed]] / 60)</f>
        <v>1500.619067271977</v>
      </c>
      <c r="S369" t="str">
        <f>IF(Table4[[#This Row],[avg_games_per_stream]] &gt; 2, "Variety", "Focused")</f>
        <v>Focused</v>
      </c>
      <c r="T369" s="4">
        <f>Table4[[#This Row],[avg_viewers_per_stream]] / Table4[[#This Row],[total_followers]]</f>
        <v>0</v>
      </c>
    </row>
    <row r="370" spans="1:20">
      <c r="A370">
        <v>370</v>
      </c>
      <c r="B370" t="s">
        <v>533</v>
      </c>
      <c r="C370" t="s">
        <v>7</v>
      </c>
      <c r="D370" t="s">
        <v>39</v>
      </c>
      <c r="E370" t="s">
        <v>40</v>
      </c>
      <c r="F370" t="s">
        <v>51</v>
      </c>
      <c r="G370" s="3">
        <v>4</v>
      </c>
      <c r="H370">
        <v>9770</v>
      </c>
      <c r="I370">
        <v>5474</v>
      </c>
      <c r="J370">
        <v>2.6</v>
      </c>
      <c r="K370">
        <v>4013</v>
      </c>
      <c r="L370" s="2">
        <v>962000</v>
      </c>
      <c r="M370" s="2">
        <v>5390000</v>
      </c>
      <c r="N370">
        <v>358</v>
      </c>
      <c r="O370">
        <v>2.9</v>
      </c>
      <c r="P370" t="s">
        <v>18</v>
      </c>
      <c r="Q370" t="s">
        <v>15</v>
      </c>
      <c r="R370" s="2">
        <f>Table4[[#This Row],[total_followers]]/(Table4[[#This Row],[total_time_streamed]] / 60)</f>
        <v>14383.254423124843</v>
      </c>
      <c r="S370" t="str">
        <f>IF(Table4[[#This Row],[avg_games_per_stream]] &gt; 2, "Variety", "Focused")</f>
        <v>Variety</v>
      </c>
      <c r="T370" s="4">
        <f>Table4[[#This Row],[avg_viewers_per_stream]] / Table4[[#This Row],[total_followers]]</f>
        <v>5.6902286902286905E-3</v>
      </c>
    </row>
    <row r="371" spans="1:20">
      <c r="A371">
        <v>371</v>
      </c>
      <c r="B371" t="s">
        <v>534</v>
      </c>
      <c r="C371" t="s">
        <v>3</v>
      </c>
      <c r="D371" t="s">
        <v>39</v>
      </c>
      <c r="E371" t="s">
        <v>40</v>
      </c>
      <c r="F371" t="s">
        <v>150</v>
      </c>
      <c r="G371" s="3">
        <v>9.5</v>
      </c>
      <c r="H371">
        <v>2123</v>
      </c>
      <c r="I371">
        <v>112858</v>
      </c>
      <c r="J371">
        <v>2</v>
      </c>
      <c r="K371">
        <v>32024</v>
      </c>
      <c r="L371" s="2">
        <v>6290000</v>
      </c>
      <c r="M371" s="2">
        <v>401000000</v>
      </c>
      <c r="N371">
        <v>153</v>
      </c>
      <c r="O371">
        <v>6.4</v>
      </c>
      <c r="P371" t="s">
        <v>16</v>
      </c>
      <c r="Q371" t="s">
        <v>17</v>
      </c>
      <c r="R371" s="2">
        <f>Table4[[#This Row],[total_followers]]/(Table4[[#This Row],[total_time_streamed]] / 60)</f>
        <v>11784.911316512615</v>
      </c>
      <c r="S371" t="str">
        <f>IF(Table4[[#This Row],[avg_games_per_stream]] &gt; 2, "Variety", "Focused")</f>
        <v>Focused</v>
      </c>
      <c r="T371" s="4">
        <f>Table4[[#This Row],[avg_viewers_per_stream]] / Table4[[#This Row],[total_followers]]</f>
        <v>1.7942448330683626E-2</v>
      </c>
    </row>
    <row r="372" spans="1:20">
      <c r="A372">
        <v>372</v>
      </c>
      <c r="B372" t="s">
        <v>535</v>
      </c>
      <c r="C372" t="s">
        <v>3</v>
      </c>
      <c r="D372" t="s">
        <v>39</v>
      </c>
      <c r="E372" t="s">
        <v>220</v>
      </c>
      <c r="F372" t="s">
        <v>12</v>
      </c>
      <c r="G372" s="3">
        <v>2.2000000000000002</v>
      </c>
      <c r="H372">
        <v>116</v>
      </c>
      <c r="I372">
        <v>32718</v>
      </c>
      <c r="J372">
        <v>1</v>
      </c>
      <c r="K372">
        <v>8370</v>
      </c>
      <c r="L372" s="2">
        <v>410000</v>
      </c>
      <c r="M372" s="2">
        <v>11200000</v>
      </c>
      <c r="N372">
        <v>3</v>
      </c>
      <c r="O372">
        <v>1.8</v>
      </c>
      <c r="P372" t="s">
        <v>15</v>
      </c>
      <c r="Q372" t="s">
        <v>16</v>
      </c>
      <c r="R372" s="2">
        <f>Table4[[#This Row],[total_followers]]/(Table4[[#This Row],[total_time_streamed]] / 60)</f>
        <v>2939.0681003584227</v>
      </c>
      <c r="S372" t="str">
        <f>IF(Table4[[#This Row],[avg_games_per_stream]] &gt; 2, "Variety", "Focused")</f>
        <v>Focused</v>
      </c>
      <c r="T372" s="4">
        <f>Table4[[#This Row],[avg_viewers_per_stream]] / Table4[[#This Row],[total_followers]]</f>
        <v>7.9799999999999996E-2</v>
      </c>
    </row>
    <row r="373" spans="1:20">
      <c r="A373">
        <v>373</v>
      </c>
      <c r="B373" t="s">
        <v>536</v>
      </c>
      <c r="C373" t="s">
        <v>3</v>
      </c>
      <c r="D373" t="s">
        <v>39</v>
      </c>
      <c r="E373" t="s">
        <v>537</v>
      </c>
      <c r="F373" t="s">
        <v>538</v>
      </c>
      <c r="G373" s="3">
        <v>6.1</v>
      </c>
      <c r="H373">
        <v>2040</v>
      </c>
      <c r="I373">
        <v>4716</v>
      </c>
      <c r="J373">
        <v>1.7</v>
      </c>
      <c r="K373">
        <v>10448</v>
      </c>
      <c r="L373" s="2">
        <v>377000</v>
      </c>
      <c r="M373" s="2">
        <v>7900000</v>
      </c>
      <c r="N373">
        <v>106</v>
      </c>
      <c r="O373">
        <v>4.4000000000000004</v>
      </c>
      <c r="P373" t="s">
        <v>20</v>
      </c>
      <c r="Q373" t="s">
        <v>20</v>
      </c>
      <c r="R373" s="2">
        <f>Table4[[#This Row],[total_followers]]/(Table4[[#This Row],[total_time_streamed]] / 60)</f>
        <v>2165.0076569678408</v>
      </c>
      <c r="S373" t="str">
        <f>IF(Table4[[#This Row],[avg_games_per_stream]] &gt; 2, "Variety", "Focused")</f>
        <v>Focused</v>
      </c>
      <c r="T373" s="4">
        <f>Table4[[#This Row],[avg_viewers_per_stream]] / Table4[[#This Row],[total_followers]]</f>
        <v>1.2509283819628647E-2</v>
      </c>
    </row>
    <row r="374" spans="1:20">
      <c r="A374">
        <v>374</v>
      </c>
      <c r="B374" t="s">
        <v>539</v>
      </c>
      <c r="C374" t="s">
        <v>7</v>
      </c>
      <c r="D374" t="s">
        <v>39</v>
      </c>
      <c r="E374" t="s">
        <v>40</v>
      </c>
      <c r="F374" t="s">
        <v>51</v>
      </c>
      <c r="G374" s="3">
        <v>5.0999999999999996</v>
      </c>
      <c r="H374">
        <v>186</v>
      </c>
      <c r="I374">
        <v>4814</v>
      </c>
      <c r="J374">
        <v>2.6</v>
      </c>
      <c r="K374">
        <v>5394</v>
      </c>
      <c r="L374" s="2">
        <v>1870000</v>
      </c>
      <c r="M374" s="2">
        <v>4830000</v>
      </c>
      <c r="N374">
        <v>307</v>
      </c>
      <c r="O374">
        <v>3.6</v>
      </c>
      <c r="P374" t="s">
        <v>20</v>
      </c>
      <c r="Q374" t="s">
        <v>18</v>
      </c>
      <c r="R374" s="2">
        <f>Table4[[#This Row],[total_followers]]/(Table4[[#This Row],[total_time_streamed]] / 60)</f>
        <v>20800.889877641825</v>
      </c>
      <c r="S374" t="str">
        <f>IF(Table4[[#This Row],[avg_games_per_stream]] &gt; 2, "Variety", "Focused")</f>
        <v>Variety</v>
      </c>
      <c r="T374" s="4">
        <f>Table4[[#This Row],[avg_viewers_per_stream]] / Table4[[#This Row],[total_followers]]</f>
        <v>2.5743315508021392E-3</v>
      </c>
    </row>
    <row r="375" spans="1:20">
      <c r="A375">
        <v>375</v>
      </c>
      <c r="B375" t="s">
        <v>540</v>
      </c>
      <c r="C375" t="s">
        <v>5</v>
      </c>
      <c r="D375" t="s">
        <v>39</v>
      </c>
      <c r="E375" t="s">
        <v>96</v>
      </c>
      <c r="F375" t="s">
        <v>68</v>
      </c>
      <c r="G375" s="3">
        <v>5.2</v>
      </c>
      <c r="H375">
        <v>1700</v>
      </c>
      <c r="I375">
        <v>1708</v>
      </c>
      <c r="J375">
        <v>1.2</v>
      </c>
      <c r="K375">
        <v>324</v>
      </c>
      <c r="L375" s="2">
        <v>134000</v>
      </c>
      <c r="M375" s="2">
        <v>1290000</v>
      </c>
      <c r="N375">
        <v>99</v>
      </c>
      <c r="O375">
        <v>3.8</v>
      </c>
      <c r="P375" t="s">
        <v>20</v>
      </c>
      <c r="Q375" t="s">
        <v>14</v>
      </c>
      <c r="R375" s="2">
        <f>Table4[[#This Row],[total_followers]]/(Table4[[#This Row],[total_time_streamed]] / 60)</f>
        <v>24814.814814814814</v>
      </c>
      <c r="S375" t="str">
        <f>IF(Table4[[#This Row],[avg_games_per_stream]] &gt; 2, "Variety", "Focused")</f>
        <v>Focused</v>
      </c>
      <c r="T375" s="4">
        <f>Table4[[#This Row],[avg_viewers_per_stream]] / Table4[[#This Row],[total_followers]]</f>
        <v>1.2746268656716417E-2</v>
      </c>
    </row>
    <row r="376" spans="1:20">
      <c r="A376">
        <v>376</v>
      </c>
      <c r="B376" t="s">
        <v>541</v>
      </c>
      <c r="C376" t="s">
        <v>3</v>
      </c>
      <c r="D376" t="s">
        <v>39</v>
      </c>
      <c r="E376" t="s">
        <v>54</v>
      </c>
      <c r="F376" t="s">
        <v>542</v>
      </c>
      <c r="G376" s="3">
        <v>4.2</v>
      </c>
      <c r="H376">
        <v>1079</v>
      </c>
      <c r="I376">
        <v>1122</v>
      </c>
      <c r="J376">
        <v>1.1000000000000001</v>
      </c>
      <c r="K376">
        <v>2163</v>
      </c>
      <c r="L376" s="2">
        <v>601000</v>
      </c>
      <c r="M376" s="2">
        <v>625000</v>
      </c>
      <c r="N376">
        <v>27</v>
      </c>
      <c r="O376">
        <v>2.6</v>
      </c>
      <c r="P376" t="s">
        <v>14</v>
      </c>
      <c r="Q376" t="s">
        <v>17</v>
      </c>
      <c r="R376" s="2">
        <f>Table4[[#This Row],[total_followers]]/(Table4[[#This Row],[total_time_streamed]] / 60)</f>
        <v>16671.28987517337</v>
      </c>
      <c r="S376" t="str">
        <f>IF(Table4[[#This Row],[avg_games_per_stream]] &gt; 2, "Variety", "Focused")</f>
        <v>Focused</v>
      </c>
      <c r="T376" s="4">
        <f>Table4[[#This Row],[avg_viewers_per_stream]] / Table4[[#This Row],[total_followers]]</f>
        <v>1.8668885191347755E-3</v>
      </c>
    </row>
    <row r="377" spans="1:20">
      <c r="A377">
        <v>377</v>
      </c>
      <c r="B377" t="s">
        <v>543</v>
      </c>
      <c r="C377" t="s">
        <v>5</v>
      </c>
      <c r="D377" t="s">
        <v>39</v>
      </c>
      <c r="E377" t="s">
        <v>544</v>
      </c>
      <c r="F377" t="s">
        <v>518</v>
      </c>
      <c r="G377" s="3">
        <v>5.2</v>
      </c>
      <c r="H377">
        <v>1330</v>
      </c>
      <c r="I377">
        <v>1621</v>
      </c>
      <c r="J377">
        <v>1.4</v>
      </c>
      <c r="K377">
        <v>2677</v>
      </c>
      <c r="L377" s="2">
        <v>75800</v>
      </c>
      <c r="M377" s="2">
        <v>912000</v>
      </c>
      <c r="N377">
        <v>102</v>
      </c>
      <c r="O377">
        <v>2.5</v>
      </c>
      <c r="P377" t="s">
        <v>15</v>
      </c>
      <c r="Q377" t="s">
        <v>17</v>
      </c>
      <c r="R377" s="2">
        <f>Table4[[#This Row],[total_followers]]/(Table4[[#This Row],[total_time_streamed]] / 60)</f>
        <v>1698.9166977960404</v>
      </c>
      <c r="S377" t="str">
        <f>IF(Table4[[#This Row],[avg_games_per_stream]] &gt; 2, "Variety", "Focused")</f>
        <v>Focused</v>
      </c>
      <c r="T377" s="4">
        <f>Table4[[#This Row],[avg_viewers_per_stream]] / Table4[[#This Row],[total_followers]]</f>
        <v>2.1385224274406332E-2</v>
      </c>
    </row>
    <row r="378" spans="1:20">
      <c r="A378">
        <v>378</v>
      </c>
      <c r="B378" t="s">
        <v>545</v>
      </c>
      <c r="C378" t="s">
        <v>61</v>
      </c>
      <c r="D378" t="s">
        <v>39</v>
      </c>
      <c r="E378" t="s">
        <v>74</v>
      </c>
      <c r="F378" t="s">
        <v>40</v>
      </c>
      <c r="G378" s="3">
        <v>3.5</v>
      </c>
      <c r="H378">
        <v>1017</v>
      </c>
      <c r="I378">
        <v>7044</v>
      </c>
      <c r="J378">
        <v>1.1000000000000001</v>
      </c>
      <c r="K378">
        <v>3003</v>
      </c>
      <c r="L378" s="2">
        <v>947000</v>
      </c>
      <c r="M378" s="2">
        <v>6570000</v>
      </c>
      <c r="N378">
        <v>29</v>
      </c>
      <c r="O378">
        <v>3.1</v>
      </c>
      <c r="P378" t="s">
        <v>18</v>
      </c>
      <c r="Q378" t="s">
        <v>14</v>
      </c>
      <c r="R378" s="2">
        <f>Table4[[#This Row],[total_followers]]/(Table4[[#This Row],[total_time_streamed]] / 60)</f>
        <v>18921.078921078923</v>
      </c>
      <c r="S378" t="str">
        <f>IF(Table4[[#This Row],[avg_games_per_stream]] &gt; 2, "Variety", "Focused")</f>
        <v>Focused</v>
      </c>
      <c r="T378" s="4">
        <f>Table4[[#This Row],[avg_viewers_per_stream]] / Table4[[#This Row],[total_followers]]</f>
        <v>7.4382259767687437E-3</v>
      </c>
    </row>
    <row r="379" spans="1:20">
      <c r="A379">
        <v>379</v>
      </c>
      <c r="B379" t="s">
        <v>546</v>
      </c>
      <c r="C379" t="s">
        <v>3</v>
      </c>
      <c r="D379" t="s">
        <v>58</v>
      </c>
      <c r="E379" t="s">
        <v>88</v>
      </c>
      <c r="F379" t="s">
        <v>518</v>
      </c>
      <c r="G379" s="3">
        <v>3</v>
      </c>
      <c r="H379">
        <v>3890</v>
      </c>
      <c r="I379">
        <v>165122</v>
      </c>
      <c r="J379">
        <v>1.1000000000000001</v>
      </c>
      <c r="K379">
        <v>7270</v>
      </c>
      <c r="L379" s="2">
        <v>87200</v>
      </c>
      <c r="M379" s="2">
        <v>35400000</v>
      </c>
      <c r="N379">
        <v>29</v>
      </c>
      <c r="O379">
        <v>1.1000000000000001</v>
      </c>
      <c r="P379" t="s">
        <v>19</v>
      </c>
      <c r="Q379" t="s">
        <v>14</v>
      </c>
      <c r="R379" s="2">
        <f>Table4[[#This Row],[total_followers]]/(Table4[[#This Row],[total_time_streamed]] / 60)</f>
        <v>719.66987620357634</v>
      </c>
      <c r="S379" t="str">
        <f>IF(Table4[[#This Row],[avg_games_per_stream]] &gt; 2, "Variety", "Focused")</f>
        <v>Focused</v>
      </c>
      <c r="T379" s="4">
        <f>Table4[[#This Row],[avg_viewers_per_stream]] / Table4[[#This Row],[total_followers]]</f>
        <v>1.8936009174311927</v>
      </c>
    </row>
    <row r="380" spans="1:20">
      <c r="A380">
        <v>380</v>
      </c>
      <c r="B380" t="s">
        <v>547</v>
      </c>
      <c r="C380" t="s">
        <v>3</v>
      </c>
      <c r="D380" t="s">
        <v>39</v>
      </c>
      <c r="E380" t="s">
        <v>66</v>
      </c>
      <c r="F380" t="s">
        <v>548</v>
      </c>
      <c r="G380" s="3">
        <v>10.1</v>
      </c>
      <c r="H380">
        <v>2270</v>
      </c>
      <c r="I380">
        <v>14497</v>
      </c>
      <c r="J380">
        <v>1.6</v>
      </c>
      <c r="K380">
        <v>19605</v>
      </c>
      <c r="L380" s="2">
        <v>467000</v>
      </c>
      <c r="M380" s="2">
        <v>28300000</v>
      </c>
      <c r="N380">
        <v>529</v>
      </c>
      <c r="O380">
        <v>5</v>
      </c>
      <c r="P380" t="s">
        <v>17</v>
      </c>
      <c r="Q380" t="s">
        <v>14</v>
      </c>
      <c r="R380" s="2">
        <f>Table4[[#This Row],[total_followers]]/(Table4[[#This Row],[total_time_streamed]] / 60)</f>
        <v>1429.2272379495028</v>
      </c>
      <c r="S380" t="str">
        <f>IF(Table4[[#This Row],[avg_games_per_stream]] &gt; 2, "Variety", "Focused")</f>
        <v>Focused</v>
      </c>
      <c r="T380" s="4">
        <f>Table4[[#This Row],[avg_viewers_per_stream]] / Table4[[#This Row],[total_followers]]</f>
        <v>3.1042826552462526E-2</v>
      </c>
    </row>
    <row r="381" spans="1:20">
      <c r="A381">
        <v>381</v>
      </c>
      <c r="B381" t="s">
        <v>549</v>
      </c>
      <c r="C381" t="s">
        <v>3</v>
      </c>
      <c r="D381" t="s">
        <v>39</v>
      </c>
      <c r="E381" t="s">
        <v>189</v>
      </c>
      <c r="F381" t="s">
        <v>550</v>
      </c>
      <c r="G381" s="3">
        <v>7</v>
      </c>
      <c r="H381">
        <v>1260</v>
      </c>
      <c r="I381">
        <v>14166</v>
      </c>
      <c r="J381">
        <v>1.1000000000000001</v>
      </c>
      <c r="K381">
        <v>1521</v>
      </c>
      <c r="L381" s="2">
        <v>330000</v>
      </c>
      <c r="M381" s="2">
        <v>33500000</v>
      </c>
      <c r="N381">
        <v>56</v>
      </c>
      <c r="O381">
        <v>5.5</v>
      </c>
      <c r="P381" t="s">
        <v>17</v>
      </c>
      <c r="Q381" t="s">
        <v>14</v>
      </c>
      <c r="R381" s="2">
        <f>Table4[[#This Row],[total_followers]]/(Table4[[#This Row],[total_time_streamed]] / 60)</f>
        <v>13017.75147928994</v>
      </c>
      <c r="S381" t="str">
        <f>IF(Table4[[#This Row],[avg_games_per_stream]] &gt; 2, "Variety", "Focused")</f>
        <v>Focused</v>
      </c>
      <c r="T381" s="4">
        <f>Table4[[#This Row],[avg_viewers_per_stream]] / Table4[[#This Row],[total_followers]]</f>
        <v>4.2927272727272731E-2</v>
      </c>
    </row>
    <row r="382" spans="1:20">
      <c r="A382">
        <v>382</v>
      </c>
      <c r="B382" t="s">
        <v>551</v>
      </c>
      <c r="C382" t="s">
        <v>3</v>
      </c>
      <c r="D382" t="s">
        <v>39</v>
      </c>
      <c r="E382" t="s">
        <v>64</v>
      </c>
      <c r="F382" t="s">
        <v>411</v>
      </c>
      <c r="G382" s="3">
        <v>5.4</v>
      </c>
      <c r="H382">
        <v>1460</v>
      </c>
      <c r="I382">
        <v>10772</v>
      </c>
      <c r="J382">
        <v>1.1000000000000001</v>
      </c>
      <c r="K382">
        <v>8956</v>
      </c>
      <c r="L382" s="2">
        <v>259000</v>
      </c>
      <c r="M382" s="2">
        <v>18900000</v>
      </c>
      <c r="N382">
        <v>41</v>
      </c>
      <c r="O382">
        <v>4.2</v>
      </c>
      <c r="P382" t="s">
        <v>17</v>
      </c>
      <c r="Q382" t="s">
        <v>14</v>
      </c>
      <c r="R382" s="2">
        <f>Table4[[#This Row],[total_followers]]/(Table4[[#This Row],[total_time_streamed]] / 60)</f>
        <v>1735.1496203662348</v>
      </c>
      <c r="S382" t="str">
        <f>IF(Table4[[#This Row],[avg_games_per_stream]] &gt; 2, "Variety", "Focused")</f>
        <v>Focused</v>
      </c>
      <c r="T382" s="4">
        <f>Table4[[#This Row],[avg_viewers_per_stream]] / Table4[[#This Row],[total_followers]]</f>
        <v>4.1590733590733592E-2</v>
      </c>
    </row>
    <row r="383" spans="1:20">
      <c r="A383">
        <v>383</v>
      </c>
      <c r="B383" t="s">
        <v>552</v>
      </c>
      <c r="C383" t="s">
        <v>3</v>
      </c>
      <c r="D383" t="s">
        <v>39</v>
      </c>
      <c r="E383" t="s">
        <v>88</v>
      </c>
      <c r="F383" t="s">
        <v>74</v>
      </c>
      <c r="G383" s="3">
        <v>6.9</v>
      </c>
      <c r="H383">
        <v>1547</v>
      </c>
      <c r="I383">
        <v>3579</v>
      </c>
      <c r="J383">
        <v>1.2</v>
      </c>
      <c r="K383">
        <v>16866</v>
      </c>
      <c r="L383" s="2">
        <v>3990000</v>
      </c>
      <c r="M383" s="2">
        <v>92300000</v>
      </c>
      <c r="N383">
        <v>71</v>
      </c>
      <c r="O383">
        <v>6.3</v>
      </c>
      <c r="P383" t="s">
        <v>17</v>
      </c>
      <c r="Q383" t="s">
        <v>14</v>
      </c>
      <c r="R383" s="2">
        <f>Table4[[#This Row],[total_followers]]/(Table4[[#This Row],[total_time_streamed]] / 60)</f>
        <v>14194.236926360725</v>
      </c>
      <c r="S383" t="str">
        <f>IF(Table4[[#This Row],[avg_games_per_stream]] &gt; 2, "Variety", "Focused")</f>
        <v>Focused</v>
      </c>
      <c r="T383" s="4">
        <f>Table4[[#This Row],[avg_viewers_per_stream]] / Table4[[#This Row],[total_followers]]</f>
        <v>8.9699248120300756E-4</v>
      </c>
    </row>
    <row r="384" spans="1:20">
      <c r="A384">
        <v>384</v>
      </c>
      <c r="B384" t="s">
        <v>553</v>
      </c>
      <c r="C384" t="s">
        <v>61</v>
      </c>
      <c r="D384" t="s">
        <v>39</v>
      </c>
      <c r="E384" t="s">
        <v>74</v>
      </c>
      <c r="F384" t="s">
        <v>40</v>
      </c>
      <c r="G384" s="3">
        <v>6.3</v>
      </c>
      <c r="H384">
        <v>7070</v>
      </c>
      <c r="I384">
        <v>24995</v>
      </c>
      <c r="J384">
        <v>2.2000000000000002</v>
      </c>
      <c r="K384">
        <v>13022</v>
      </c>
      <c r="L384" s="2">
        <v>1370000</v>
      </c>
      <c r="M384" s="2">
        <v>48500000</v>
      </c>
      <c r="N384">
        <v>211</v>
      </c>
      <c r="O384">
        <v>5.2</v>
      </c>
      <c r="P384" t="s">
        <v>15</v>
      </c>
      <c r="Q384" t="s">
        <v>14</v>
      </c>
      <c r="R384" s="2">
        <f>Table4[[#This Row],[total_followers]]/(Table4[[#This Row],[total_time_streamed]] / 60)</f>
        <v>6312.3944094609124</v>
      </c>
      <c r="S384" t="str">
        <f>IF(Table4[[#This Row],[avg_games_per_stream]] &gt; 2, "Variety", "Focused")</f>
        <v>Variety</v>
      </c>
      <c r="T384" s="4">
        <f>Table4[[#This Row],[avg_viewers_per_stream]] / Table4[[#This Row],[total_followers]]</f>
        <v>1.8244525547445257E-2</v>
      </c>
    </row>
    <row r="385" spans="1:20">
      <c r="A385">
        <v>385</v>
      </c>
      <c r="B385" t="s">
        <v>554</v>
      </c>
      <c r="C385" t="s">
        <v>3</v>
      </c>
      <c r="D385" t="s">
        <v>39</v>
      </c>
      <c r="E385" t="s">
        <v>555</v>
      </c>
      <c r="F385" t="s">
        <v>556</v>
      </c>
      <c r="G385" s="3">
        <v>4.5</v>
      </c>
      <c r="H385">
        <v>2990</v>
      </c>
      <c r="I385">
        <v>3286</v>
      </c>
      <c r="J385">
        <v>1.4</v>
      </c>
      <c r="K385">
        <v>7977</v>
      </c>
      <c r="L385" s="2">
        <v>567000</v>
      </c>
      <c r="M385" s="2">
        <v>6230000</v>
      </c>
      <c r="N385">
        <v>722</v>
      </c>
      <c r="O385">
        <v>5.9</v>
      </c>
      <c r="P385" t="s">
        <v>15</v>
      </c>
      <c r="Q385" t="s">
        <v>16</v>
      </c>
      <c r="R385" s="2">
        <f>Table4[[#This Row],[total_followers]]/(Table4[[#This Row],[total_time_streamed]] / 60)</f>
        <v>4264.7611884166981</v>
      </c>
      <c r="S385" t="str">
        <f>IF(Table4[[#This Row],[avg_games_per_stream]] &gt; 2, "Variety", "Focused")</f>
        <v>Focused</v>
      </c>
      <c r="T385" s="4">
        <f>Table4[[#This Row],[avg_viewers_per_stream]] / Table4[[#This Row],[total_followers]]</f>
        <v>5.795414462081129E-3</v>
      </c>
    </row>
    <row r="386" spans="1:20">
      <c r="A386">
        <v>386</v>
      </c>
      <c r="B386" t="s">
        <v>557</v>
      </c>
      <c r="C386" t="s">
        <v>3</v>
      </c>
      <c r="D386" t="s">
        <v>39</v>
      </c>
      <c r="E386" t="s">
        <v>40</v>
      </c>
      <c r="F386" t="s">
        <v>79</v>
      </c>
      <c r="G386" s="3">
        <v>4.4000000000000004</v>
      </c>
      <c r="H386">
        <v>8210</v>
      </c>
      <c r="I386">
        <v>1042</v>
      </c>
      <c r="J386">
        <v>1.9</v>
      </c>
      <c r="K386">
        <v>6182</v>
      </c>
      <c r="L386" s="2">
        <v>1060000</v>
      </c>
      <c r="M386" s="2">
        <v>13400000</v>
      </c>
      <c r="N386">
        <v>321</v>
      </c>
      <c r="O386">
        <v>3.6</v>
      </c>
      <c r="P386" t="s">
        <v>14</v>
      </c>
      <c r="Q386" t="s">
        <v>16</v>
      </c>
      <c r="R386" s="2">
        <f>Table4[[#This Row],[total_followers]]/(Table4[[#This Row],[total_time_streamed]] / 60)</f>
        <v>10287.932707861533</v>
      </c>
      <c r="S386" t="str">
        <f>IF(Table4[[#This Row],[avg_games_per_stream]] &gt; 2, "Variety", "Focused")</f>
        <v>Focused</v>
      </c>
      <c r="T386" s="4">
        <f>Table4[[#This Row],[avg_viewers_per_stream]] / Table4[[#This Row],[total_followers]]</f>
        <v>9.8301886792452825E-4</v>
      </c>
    </row>
    <row r="387" spans="1:20">
      <c r="A387">
        <v>387</v>
      </c>
      <c r="B387" t="s">
        <v>558</v>
      </c>
      <c r="C387" t="s">
        <v>3</v>
      </c>
      <c r="D387" t="s">
        <v>39</v>
      </c>
      <c r="E387" t="s">
        <v>74</v>
      </c>
      <c r="F387" t="s">
        <v>12</v>
      </c>
      <c r="G387" s="3">
        <v>3</v>
      </c>
      <c r="H387">
        <v>1004</v>
      </c>
      <c r="I387">
        <v>1225</v>
      </c>
      <c r="J387">
        <v>1.1000000000000001</v>
      </c>
      <c r="K387">
        <v>1498</v>
      </c>
      <c r="L387" s="2">
        <v>550000</v>
      </c>
      <c r="M387" s="2">
        <v>671000</v>
      </c>
      <c r="N387">
        <v>9</v>
      </c>
      <c r="O387">
        <v>2.6</v>
      </c>
      <c r="P387" t="s">
        <v>19</v>
      </c>
      <c r="Q387" t="s">
        <v>14</v>
      </c>
      <c r="R387" s="2">
        <f>Table4[[#This Row],[total_followers]]/(Table4[[#This Row],[total_time_streamed]] / 60)</f>
        <v>22029.372496662218</v>
      </c>
      <c r="S387" t="str">
        <f>IF(Table4[[#This Row],[avg_games_per_stream]] &gt; 2, "Variety", "Focused")</f>
        <v>Focused</v>
      </c>
      <c r="T387" s="4">
        <f>Table4[[#This Row],[avg_viewers_per_stream]] / Table4[[#This Row],[total_followers]]</f>
        <v>2.2272727272727275E-3</v>
      </c>
    </row>
    <row r="388" spans="1:20">
      <c r="A388">
        <v>388</v>
      </c>
      <c r="B388" t="s">
        <v>559</v>
      </c>
      <c r="C388" t="s">
        <v>5</v>
      </c>
      <c r="D388" t="s">
        <v>39</v>
      </c>
      <c r="E388" t="s">
        <v>68</v>
      </c>
      <c r="F388" t="s">
        <v>40</v>
      </c>
      <c r="G388" s="3">
        <v>5.0999999999999996</v>
      </c>
      <c r="H388">
        <v>5790</v>
      </c>
      <c r="I388">
        <v>6734</v>
      </c>
      <c r="J388">
        <v>1.1000000000000001</v>
      </c>
      <c r="K388">
        <v>2299</v>
      </c>
      <c r="L388" s="2">
        <v>286000</v>
      </c>
      <c r="M388" s="2">
        <v>3300000</v>
      </c>
      <c r="N388">
        <v>62</v>
      </c>
      <c r="O388">
        <v>2.6</v>
      </c>
      <c r="P388" t="s">
        <v>19</v>
      </c>
      <c r="Q388" t="s">
        <v>14</v>
      </c>
      <c r="R388" s="2">
        <f>Table4[[#This Row],[total_followers]]/(Table4[[#This Row],[total_time_streamed]] / 60)</f>
        <v>7464.1148325358845</v>
      </c>
      <c r="S388" t="str">
        <f>IF(Table4[[#This Row],[avg_games_per_stream]] &gt; 2, "Variety", "Focused")</f>
        <v>Focused</v>
      </c>
      <c r="T388" s="4">
        <f>Table4[[#This Row],[avg_viewers_per_stream]] / Table4[[#This Row],[total_followers]]</f>
        <v>2.3545454545454546E-2</v>
      </c>
    </row>
    <row r="389" spans="1:20">
      <c r="A389">
        <v>389</v>
      </c>
      <c r="B389" t="s">
        <v>560</v>
      </c>
      <c r="C389" t="s">
        <v>3</v>
      </c>
      <c r="D389" t="s">
        <v>39</v>
      </c>
      <c r="E389" t="s">
        <v>293</v>
      </c>
      <c r="F389" t="s">
        <v>53</v>
      </c>
      <c r="G389" s="3">
        <v>7.6</v>
      </c>
      <c r="H389">
        <v>2240</v>
      </c>
      <c r="I389">
        <v>19066</v>
      </c>
      <c r="J389">
        <v>1.2</v>
      </c>
      <c r="K389">
        <v>13316</v>
      </c>
      <c r="L389" s="2">
        <v>611000</v>
      </c>
      <c r="M389" s="2">
        <v>52800000</v>
      </c>
      <c r="N389">
        <v>101</v>
      </c>
      <c r="O389">
        <v>4.5</v>
      </c>
      <c r="P389" t="s">
        <v>14</v>
      </c>
      <c r="Q389" t="s">
        <v>14</v>
      </c>
      <c r="R389" s="2">
        <f>Table4[[#This Row],[total_followers]]/(Table4[[#This Row],[total_time_streamed]] / 60)</f>
        <v>2753.0790027035146</v>
      </c>
      <c r="S389" t="str">
        <f>IF(Table4[[#This Row],[avg_games_per_stream]] &gt; 2, "Variety", "Focused")</f>
        <v>Focused</v>
      </c>
      <c r="T389" s="4">
        <f>Table4[[#This Row],[avg_viewers_per_stream]] / Table4[[#This Row],[total_followers]]</f>
        <v>3.1204582651391161E-2</v>
      </c>
    </row>
    <row r="390" spans="1:20">
      <c r="A390">
        <v>390</v>
      </c>
      <c r="B390" t="s">
        <v>561</v>
      </c>
      <c r="C390" t="s">
        <v>3</v>
      </c>
      <c r="D390" t="s">
        <v>39</v>
      </c>
      <c r="E390" t="s">
        <v>46</v>
      </c>
      <c r="F390" t="s">
        <v>41</v>
      </c>
      <c r="G390" s="3">
        <v>8</v>
      </c>
      <c r="H390">
        <v>5810</v>
      </c>
      <c r="I390">
        <v>45247</v>
      </c>
      <c r="J390">
        <v>1</v>
      </c>
      <c r="K390">
        <v>14807</v>
      </c>
      <c r="L390" s="2">
        <v>1260000</v>
      </c>
      <c r="M390" s="2">
        <v>98000000</v>
      </c>
      <c r="N390">
        <v>30</v>
      </c>
      <c r="O390">
        <v>5.2</v>
      </c>
      <c r="P390" t="s">
        <v>17</v>
      </c>
      <c r="Q390" t="s">
        <v>15</v>
      </c>
      <c r="R390" s="2">
        <f>Table4[[#This Row],[total_followers]]/(Table4[[#This Row],[total_time_streamed]] / 60)</f>
        <v>5105.6932531910579</v>
      </c>
      <c r="S390" t="str">
        <f>IF(Table4[[#This Row],[avg_games_per_stream]] &gt; 2, "Variety", "Focused")</f>
        <v>Focused</v>
      </c>
      <c r="T390" s="4">
        <f>Table4[[#This Row],[avg_viewers_per_stream]] / Table4[[#This Row],[total_followers]]</f>
        <v>3.5910317460317462E-2</v>
      </c>
    </row>
    <row r="391" spans="1:20">
      <c r="A391">
        <v>391</v>
      </c>
      <c r="B391" t="s">
        <v>562</v>
      </c>
      <c r="C391" t="s">
        <v>3</v>
      </c>
      <c r="D391" t="s">
        <v>39</v>
      </c>
      <c r="E391" t="s">
        <v>351</v>
      </c>
      <c r="F391" t="s">
        <v>51</v>
      </c>
      <c r="G391" s="3">
        <v>4.9000000000000004</v>
      </c>
      <c r="H391">
        <v>9500</v>
      </c>
      <c r="I391">
        <v>11469</v>
      </c>
      <c r="J391">
        <v>1.2</v>
      </c>
      <c r="K391">
        <v>8186</v>
      </c>
      <c r="L391" s="2">
        <v>1390000</v>
      </c>
      <c r="M391" s="2">
        <v>16700000</v>
      </c>
      <c r="N391">
        <v>116</v>
      </c>
      <c r="O391">
        <v>4.7</v>
      </c>
      <c r="P391" t="s">
        <v>19</v>
      </c>
      <c r="Q391" t="s">
        <v>17</v>
      </c>
      <c r="R391" s="2">
        <f>Table4[[#This Row],[total_followers]]/(Table4[[#This Row],[total_time_streamed]] / 60)</f>
        <v>10188.126068898118</v>
      </c>
      <c r="S391" t="str">
        <f>IF(Table4[[#This Row],[avg_games_per_stream]] &gt; 2, "Variety", "Focused")</f>
        <v>Focused</v>
      </c>
      <c r="T391" s="4">
        <f>Table4[[#This Row],[avg_viewers_per_stream]] / Table4[[#This Row],[total_followers]]</f>
        <v>8.2510791366906481E-3</v>
      </c>
    </row>
    <row r="392" spans="1:20">
      <c r="A392">
        <v>392</v>
      </c>
      <c r="B392" t="s">
        <v>563</v>
      </c>
      <c r="C392" t="s">
        <v>3</v>
      </c>
      <c r="D392" t="s">
        <v>39</v>
      </c>
      <c r="E392" t="s">
        <v>40</v>
      </c>
      <c r="F392" t="s">
        <v>344</v>
      </c>
      <c r="G392" s="3">
        <v>6.2</v>
      </c>
      <c r="H392">
        <v>126</v>
      </c>
      <c r="I392">
        <v>2324</v>
      </c>
      <c r="J392">
        <v>1.5</v>
      </c>
      <c r="K392">
        <v>3985</v>
      </c>
      <c r="L392" s="2">
        <v>894000</v>
      </c>
      <c r="M392" s="2">
        <v>1650000</v>
      </c>
      <c r="N392">
        <v>30</v>
      </c>
      <c r="O392">
        <v>2.9</v>
      </c>
      <c r="P392" t="s">
        <v>14</v>
      </c>
      <c r="Q392" t="s">
        <v>19</v>
      </c>
      <c r="R392" s="2">
        <f>Table4[[#This Row],[total_followers]]/(Table4[[#This Row],[total_time_streamed]] / 60)</f>
        <v>13460.476787954829</v>
      </c>
      <c r="S392" t="str">
        <f>IF(Table4[[#This Row],[avg_games_per_stream]] &gt; 2, "Variety", "Focused")</f>
        <v>Focused</v>
      </c>
      <c r="T392" s="4">
        <f>Table4[[#This Row],[avg_viewers_per_stream]] / Table4[[#This Row],[total_followers]]</f>
        <v>2.599552572706935E-3</v>
      </c>
    </row>
    <row r="393" spans="1:20">
      <c r="A393">
        <v>393</v>
      </c>
      <c r="B393" t="s">
        <v>564</v>
      </c>
      <c r="C393" t="s">
        <v>2</v>
      </c>
      <c r="D393" t="s">
        <v>39</v>
      </c>
      <c r="E393" t="s">
        <v>40</v>
      </c>
      <c r="F393" t="s">
        <v>363</v>
      </c>
      <c r="G393" s="3">
        <v>7.1</v>
      </c>
      <c r="H393">
        <v>750</v>
      </c>
      <c r="I393">
        <v>20321</v>
      </c>
      <c r="J393">
        <v>1.6</v>
      </c>
      <c r="K393">
        <v>17003</v>
      </c>
      <c r="L393" s="2">
        <v>264000</v>
      </c>
      <c r="M393" s="2">
        <v>62800000</v>
      </c>
      <c r="N393">
        <v>444</v>
      </c>
      <c r="O393">
        <v>6.1</v>
      </c>
      <c r="P393" t="s">
        <v>14</v>
      </c>
      <c r="Q393" t="s">
        <v>15</v>
      </c>
      <c r="R393" s="2">
        <f>Table4[[#This Row],[total_followers]]/(Table4[[#This Row],[total_time_streamed]] / 60)</f>
        <v>931.60030582838328</v>
      </c>
      <c r="S393" t="str">
        <f>IF(Table4[[#This Row],[avg_games_per_stream]] &gt; 2, "Variety", "Focused")</f>
        <v>Focused</v>
      </c>
      <c r="T393" s="4">
        <f>Table4[[#This Row],[avg_viewers_per_stream]] / Table4[[#This Row],[total_followers]]</f>
        <v>7.6973484848484847E-2</v>
      </c>
    </row>
    <row r="394" spans="1:20">
      <c r="A394">
        <v>394</v>
      </c>
      <c r="B394" t="s">
        <v>565</v>
      </c>
      <c r="C394" t="s">
        <v>61</v>
      </c>
      <c r="D394" t="s">
        <v>39</v>
      </c>
      <c r="E394" t="s">
        <v>74</v>
      </c>
      <c r="F394" t="s">
        <v>54</v>
      </c>
      <c r="G394" s="3">
        <v>6.6</v>
      </c>
      <c r="H394">
        <v>9870</v>
      </c>
      <c r="I394">
        <v>35775</v>
      </c>
      <c r="J394">
        <v>1.5</v>
      </c>
      <c r="K394">
        <v>1212</v>
      </c>
      <c r="L394" s="2">
        <v>1720000</v>
      </c>
      <c r="M394" s="2">
        <v>61700000</v>
      </c>
      <c r="N394">
        <v>80</v>
      </c>
      <c r="O394">
        <v>4.7</v>
      </c>
      <c r="P394" t="s">
        <v>14</v>
      </c>
      <c r="Q394" t="s">
        <v>14</v>
      </c>
      <c r="R394" s="2">
        <f>Table4[[#This Row],[total_followers]]/(Table4[[#This Row],[total_time_streamed]] / 60)</f>
        <v>85148.514851485146</v>
      </c>
      <c r="S394" t="str">
        <f>IF(Table4[[#This Row],[avg_games_per_stream]] &gt; 2, "Variety", "Focused")</f>
        <v>Focused</v>
      </c>
      <c r="T394" s="4">
        <f>Table4[[#This Row],[avg_viewers_per_stream]] / Table4[[#This Row],[total_followers]]</f>
        <v>2.0799418604651163E-2</v>
      </c>
    </row>
    <row r="395" spans="1:20">
      <c r="A395">
        <v>395</v>
      </c>
      <c r="B395" t="s">
        <v>566</v>
      </c>
      <c r="C395" t="s">
        <v>3</v>
      </c>
      <c r="D395" t="s">
        <v>39</v>
      </c>
      <c r="E395" t="s">
        <v>66</v>
      </c>
      <c r="F395" t="s">
        <v>40</v>
      </c>
      <c r="G395" s="3">
        <v>7.8</v>
      </c>
      <c r="H395">
        <v>2250</v>
      </c>
      <c r="I395">
        <v>13149</v>
      </c>
      <c r="J395">
        <v>1.4</v>
      </c>
      <c r="K395">
        <v>16655</v>
      </c>
      <c r="L395" s="2">
        <v>526000</v>
      </c>
      <c r="M395" s="2">
        <v>30800000</v>
      </c>
      <c r="N395">
        <v>293</v>
      </c>
      <c r="O395">
        <v>6.2</v>
      </c>
      <c r="P395" t="s">
        <v>14</v>
      </c>
      <c r="Q395" t="s">
        <v>14</v>
      </c>
      <c r="R395" s="2">
        <f>Table4[[#This Row],[total_followers]]/(Table4[[#This Row],[total_time_streamed]] / 60)</f>
        <v>1894.9264485139599</v>
      </c>
      <c r="S395" t="str">
        <f>IF(Table4[[#This Row],[avg_games_per_stream]] &gt; 2, "Variety", "Focused")</f>
        <v>Focused</v>
      </c>
      <c r="T395" s="4">
        <f>Table4[[#This Row],[avg_viewers_per_stream]] / Table4[[#This Row],[total_followers]]</f>
        <v>2.4998098859315591E-2</v>
      </c>
    </row>
    <row r="396" spans="1:20">
      <c r="A396">
        <v>396</v>
      </c>
      <c r="B396" t="s">
        <v>567</v>
      </c>
      <c r="C396" t="s">
        <v>5</v>
      </c>
      <c r="D396" t="s">
        <v>39</v>
      </c>
      <c r="E396" t="s">
        <v>46</v>
      </c>
      <c r="F396" t="s">
        <v>79</v>
      </c>
      <c r="G396" s="3">
        <v>4.8</v>
      </c>
      <c r="H396">
        <v>3300</v>
      </c>
      <c r="I396">
        <v>5620</v>
      </c>
      <c r="J396">
        <v>1.1000000000000001</v>
      </c>
      <c r="K396">
        <v>3012</v>
      </c>
      <c r="L396" s="2">
        <v>242000</v>
      </c>
      <c r="M396" s="2">
        <v>415000</v>
      </c>
      <c r="N396">
        <v>39</v>
      </c>
      <c r="O396">
        <v>1.6</v>
      </c>
      <c r="P396" t="s">
        <v>16</v>
      </c>
      <c r="Q396" t="s">
        <v>14</v>
      </c>
      <c r="R396" s="2">
        <f>Table4[[#This Row],[total_followers]]/(Table4[[#This Row],[total_time_streamed]] / 60)</f>
        <v>4820.7171314741036</v>
      </c>
      <c r="S396" t="str">
        <f>IF(Table4[[#This Row],[avg_games_per_stream]] &gt; 2, "Variety", "Focused")</f>
        <v>Focused</v>
      </c>
      <c r="T396" s="4">
        <f>Table4[[#This Row],[avg_viewers_per_stream]] / Table4[[#This Row],[total_followers]]</f>
        <v>2.322314049586777E-2</v>
      </c>
    </row>
    <row r="397" spans="1:20">
      <c r="A397">
        <v>397</v>
      </c>
      <c r="B397" t="s">
        <v>568</v>
      </c>
      <c r="C397" t="s">
        <v>7</v>
      </c>
      <c r="D397" t="s">
        <v>39</v>
      </c>
      <c r="E397" t="s">
        <v>569</v>
      </c>
      <c r="F397" t="s">
        <v>40</v>
      </c>
      <c r="G397" s="3">
        <v>20.100000000000001</v>
      </c>
      <c r="H397">
        <v>1252</v>
      </c>
      <c r="I397">
        <v>17286</v>
      </c>
      <c r="J397">
        <v>1.5</v>
      </c>
      <c r="K397">
        <v>23983</v>
      </c>
      <c r="L397" s="2">
        <v>1040000</v>
      </c>
      <c r="M397" s="2">
        <v>14300000</v>
      </c>
      <c r="N397">
        <v>36</v>
      </c>
      <c r="O397">
        <v>5.8</v>
      </c>
      <c r="P397" t="s">
        <v>14</v>
      </c>
      <c r="Q397" t="s">
        <v>14</v>
      </c>
      <c r="R397" s="2">
        <f>Table4[[#This Row],[total_followers]]/(Table4[[#This Row],[total_time_streamed]] / 60)</f>
        <v>2601.8429721052412</v>
      </c>
      <c r="S397" t="str">
        <f>IF(Table4[[#This Row],[avg_games_per_stream]] &gt; 2, "Variety", "Focused")</f>
        <v>Focused</v>
      </c>
      <c r="T397" s="4">
        <f>Table4[[#This Row],[avg_viewers_per_stream]] / Table4[[#This Row],[total_followers]]</f>
        <v>1.6621153846153845E-2</v>
      </c>
    </row>
    <row r="398" spans="1:20">
      <c r="A398">
        <v>398</v>
      </c>
      <c r="B398" t="s">
        <v>570</v>
      </c>
      <c r="C398" t="s">
        <v>6</v>
      </c>
      <c r="D398" t="s">
        <v>39</v>
      </c>
      <c r="E398" t="s">
        <v>85</v>
      </c>
      <c r="G398" s="3">
        <v>19.2</v>
      </c>
      <c r="H398">
        <v>740</v>
      </c>
      <c r="I398">
        <v>0</v>
      </c>
      <c r="J398">
        <v>1</v>
      </c>
      <c r="K398">
        <v>1350</v>
      </c>
      <c r="L398" s="2">
        <v>1600</v>
      </c>
      <c r="M398" s="2">
        <v>0</v>
      </c>
      <c r="N398">
        <v>1</v>
      </c>
      <c r="O398">
        <v>2.6</v>
      </c>
      <c r="P398" t="s">
        <v>16</v>
      </c>
      <c r="Q398" t="s">
        <v>16</v>
      </c>
      <c r="R398" s="2">
        <f>Table4[[#This Row],[total_followers]]/(Table4[[#This Row],[total_time_streamed]] / 60)</f>
        <v>71.111111111111114</v>
      </c>
      <c r="S398" t="str">
        <f>IF(Table4[[#This Row],[avg_games_per_stream]] &gt; 2, "Variety", "Focused")</f>
        <v>Focused</v>
      </c>
      <c r="T398" s="4">
        <f>Table4[[#This Row],[avg_viewers_per_stream]] / Table4[[#This Row],[total_followers]]</f>
        <v>0</v>
      </c>
    </row>
    <row r="399" spans="1:20">
      <c r="A399">
        <v>399</v>
      </c>
      <c r="B399" t="s">
        <v>571</v>
      </c>
      <c r="C399" t="s">
        <v>3</v>
      </c>
      <c r="D399" t="s">
        <v>39</v>
      </c>
      <c r="E399" t="s">
        <v>43</v>
      </c>
      <c r="F399" t="s">
        <v>12</v>
      </c>
      <c r="G399" s="3">
        <v>4.9000000000000004</v>
      </c>
      <c r="H399">
        <v>9490</v>
      </c>
      <c r="I399">
        <v>660</v>
      </c>
      <c r="J399">
        <v>1.3</v>
      </c>
      <c r="K399">
        <v>1412</v>
      </c>
      <c r="L399" s="2">
        <v>275000</v>
      </c>
      <c r="M399" s="2">
        <v>19300</v>
      </c>
      <c r="N399">
        <v>19</v>
      </c>
      <c r="O399">
        <v>1.7</v>
      </c>
      <c r="P399" t="s">
        <v>14</v>
      </c>
      <c r="Q399" t="s">
        <v>14</v>
      </c>
      <c r="R399" s="2">
        <f>Table4[[#This Row],[total_followers]]/(Table4[[#This Row],[total_time_streamed]] / 60)</f>
        <v>11685.552407932011</v>
      </c>
      <c r="S399" t="str">
        <f>IF(Table4[[#This Row],[avg_games_per_stream]] &gt; 2, "Variety", "Focused")</f>
        <v>Focused</v>
      </c>
      <c r="T399" s="4">
        <f>Table4[[#This Row],[avg_viewers_per_stream]] / Table4[[#This Row],[total_followers]]</f>
        <v>2.3999999999999998E-3</v>
      </c>
    </row>
    <row r="400" spans="1:20">
      <c r="A400">
        <v>400</v>
      </c>
      <c r="B400" t="s">
        <v>572</v>
      </c>
      <c r="C400" t="s">
        <v>3</v>
      </c>
      <c r="D400" t="s">
        <v>39</v>
      </c>
      <c r="E400" t="s">
        <v>46</v>
      </c>
      <c r="F400" t="s">
        <v>40</v>
      </c>
      <c r="G400" s="3">
        <v>6.3</v>
      </c>
      <c r="H400">
        <v>4370</v>
      </c>
      <c r="I400">
        <v>24839</v>
      </c>
      <c r="J400">
        <v>1.3</v>
      </c>
      <c r="K400">
        <v>10343</v>
      </c>
      <c r="L400" s="2">
        <v>826000</v>
      </c>
      <c r="M400" s="2">
        <v>46900000</v>
      </c>
      <c r="N400">
        <v>41</v>
      </c>
      <c r="O400">
        <v>4.2</v>
      </c>
      <c r="P400" t="s">
        <v>14</v>
      </c>
      <c r="Q400" t="s">
        <v>15</v>
      </c>
      <c r="R400" s="2">
        <f>Table4[[#This Row],[total_followers]]/(Table4[[#This Row],[total_time_streamed]] / 60)</f>
        <v>4791.6465242192789</v>
      </c>
      <c r="S400" t="str">
        <f>IF(Table4[[#This Row],[avg_games_per_stream]] &gt; 2, "Variety", "Focused")</f>
        <v>Focused</v>
      </c>
      <c r="T400" s="4">
        <f>Table4[[#This Row],[avg_viewers_per_stream]] / Table4[[#This Row],[total_followers]]</f>
        <v>3.0071428571428572E-2</v>
      </c>
    </row>
    <row r="401" spans="1:20">
      <c r="A401">
        <v>401</v>
      </c>
      <c r="B401" t="s">
        <v>573</v>
      </c>
      <c r="C401" t="s">
        <v>7</v>
      </c>
      <c r="D401" t="s">
        <v>39</v>
      </c>
      <c r="E401" t="s">
        <v>40</v>
      </c>
      <c r="F401" t="s">
        <v>74</v>
      </c>
      <c r="G401" s="3">
        <v>6</v>
      </c>
      <c r="H401">
        <v>1933</v>
      </c>
      <c r="I401">
        <v>28164</v>
      </c>
      <c r="J401">
        <v>3.1</v>
      </c>
      <c r="K401">
        <v>14494</v>
      </c>
      <c r="L401" s="2">
        <v>5580000</v>
      </c>
      <c r="M401" s="2">
        <v>82400000</v>
      </c>
      <c r="N401">
        <v>539</v>
      </c>
      <c r="O401">
        <v>6.2</v>
      </c>
      <c r="P401" t="s">
        <v>19</v>
      </c>
      <c r="Q401" t="s">
        <v>15</v>
      </c>
      <c r="R401" s="2">
        <f>Table4[[#This Row],[total_followers]]/(Table4[[#This Row],[total_time_streamed]] / 60)</f>
        <v>23099.213467641785</v>
      </c>
      <c r="S401" t="str">
        <f>IF(Table4[[#This Row],[avg_games_per_stream]] &gt; 2, "Variety", "Focused")</f>
        <v>Variety</v>
      </c>
      <c r="T401" s="4">
        <f>Table4[[#This Row],[avg_viewers_per_stream]] / Table4[[#This Row],[total_followers]]</f>
        <v>5.0473118279569891E-3</v>
      </c>
    </row>
    <row r="402" spans="1:20">
      <c r="A402">
        <v>402</v>
      </c>
      <c r="B402" t="s">
        <v>574</v>
      </c>
      <c r="C402" t="s">
        <v>160</v>
      </c>
      <c r="D402" t="s">
        <v>39</v>
      </c>
      <c r="E402" t="s">
        <v>56</v>
      </c>
      <c r="F402" t="s">
        <v>40</v>
      </c>
      <c r="G402" s="3">
        <v>5.9</v>
      </c>
      <c r="H402">
        <v>1590</v>
      </c>
      <c r="I402">
        <v>289</v>
      </c>
      <c r="J402">
        <v>1.5</v>
      </c>
      <c r="K402">
        <v>9401</v>
      </c>
      <c r="L402" s="2">
        <v>293000</v>
      </c>
      <c r="M402" s="2">
        <v>5310000</v>
      </c>
      <c r="N402">
        <v>80</v>
      </c>
      <c r="O402">
        <v>4.0999999999999996</v>
      </c>
      <c r="P402" t="s">
        <v>19</v>
      </c>
      <c r="Q402" t="s">
        <v>16</v>
      </c>
      <c r="R402" s="2">
        <f>Table4[[#This Row],[total_followers]]/(Table4[[#This Row],[total_time_streamed]] / 60)</f>
        <v>1870.0138283161366</v>
      </c>
      <c r="S402" t="str">
        <f>IF(Table4[[#This Row],[avg_games_per_stream]] &gt; 2, "Variety", "Focused")</f>
        <v>Focused</v>
      </c>
      <c r="T402" s="4">
        <f>Table4[[#This Row],[avg_viewers_per_stream]] / Table4[[#This Row],[total_followers]]</f>
        <v>9.8634812286689413E-4</v>
      </c>
    </row>
    <row r="403" spans="1:20">
      <c r="A403">
        <v>403</v>
      </c>
      <c r="B403" t="s">
        <v>575</v>
      </c>
      <c r="C403" t="s">
        <v>63</v>
      </c>
      <c r="D403" t="s">
        <v>39</v>
      </c>
      <c r="E403" t="s">
        <v>64</v>
      </c>
      <c r="F403" t="s">
        <v>12</v>
      </c>
      <c r="G403" s="3">
        <v>9.9</v>
      </c>
      <c r="H403">
        <v>1668</v>
      </c>
      <c r="I403">
        <v>0</v>
      </c>
      <c r="J403">
        <v>1.1000000000000001</v>
      </c>
      <c r="K403">
        <v>3060</v>
      </c>
      <c r="L403" s="2">
        <v>55200</v>
      </c>
      <c r="M403" s="2">
        <v>0</v>
      </c>
      <c r="N403">
        <v>2</v>
      </c>
      <c r="O403">
        <v>0.5</v>
      </c>
      <c r="P403" t="s">
        <v>19</v>
      </c>
      <c r="Q403" t="s">
        <v>20</v>
      </c>
      <c r="R403" s="2">
        <f>Table4[[#This Row],[total_followers]]/(Table4[[#This Row],[total_time_streamed]] / 60)</f>
        <v>1082.3529411764705</v>
      </c>
      <c r="S403" t="str">
        <f>IF(Table4[[#This Row],[avg_games_per_stream]] &gt; 2, "Variety", "Focused")</f>
        <v>Focused</v>
      </c>
      <c r="T403" s="4">
        <f>Table4[[#This Row],[avg_viewers_per_stream]] / Table4[[#This Row],[total_followers]]</f>
        <v>0</v>
      </c>
    </row>
    <row r="404" spans="1:20">
      <c r="A404">
        <v>404</v>
      </c>
      <c r="B404" t="s">
        <v>576</v>
      </c>
      <c r="C404" t="s">
        <v>3</v>
      </c>
      <c r="D404" t="s">
        <v>39</v>
      </c>
      <c r="E404" t="s">
        <v>40</v>
      </c>
      <c r="F404" t="s">
        <v>150</v>
      </c>
      <c r="G404" s="3">
        <v>5.5</v>
      </c>
      <c r="H404">
        <v>8630</v>
      </c>
      <c r="I404">
        <v>21836</v>
      </c>
      <c r="J404">
        <v>1.1000000000000001</v>
      </c>
      <c r="K404">
        <v>8045</v>
      </c>
      <c r="L404" s="2">
        <v>1220000</v>
      </c>
      <c r="M404" s="2">
        <v>33200000</v>
      </c>
      <c r="N404">
        <v>51</v>
      </c>
      <c r="O404">
        <v>3.9</v>
      </c>
      <c r="P404" t="s">
        <v>19</v>
      </c>
      <c r="Q404" t="s">
        <v>17</v>
      </c>
      <c r="R404" s="2">
        <f>Table4[[#This Row],[total_followers]]/(Table4[[#This Row],[total_time_streamed]] / 60)</f>
        <v>9098.8191423244243</v>
      </c>
      <c r="S404" t="str">
        <f>IF(Table4[[#This Row],[avg_games_per_stream]] &gt; 2, "Variety", "Focused")</f>
        <v>Focused</v>
      </c>
      <c r="T404" s="4">
        <f>Table4[[#This Row],[avg_viewers_per_stream]] / Table4[[#This Row],[total_followers]]</f>
        <v>1.7898360655737706E-2</v>
      </c>
    </row>
    <row r="405" spans="1:20">
      <c r="A405">
        <v>405</v>
      </c>
      <c r="B405" t="s">
        <v>577</v>
      </c>
      <c r="C405" t="s">
        <v>7</v>
      </c>
      <c r="D405" t="s">
        <v>39</v>
      </c>
      <c r="E405" t="s">
        <v>40</v>
      </c>
      <c r="F405" t="s">
        <v>98</v>
      </c>
      <c r="G405" s="3">
        <v>2.7</v>
      </c>
      <c r="H405">
        <v>2620</v>
      </c>
      <c r="I405">
        <v>1736</v>
      </c>
      <c r="J405">
        <v>1.4</v>
      </c>
      <c r="K405">
        <v>3142</v>
      </c>
      <c r="L405" s="2">
        <v>363000</v>
      </c>
      <c r="M405" s="2">
        <v>2410000</v>
      </c>
      <c r="N405">
        <v>29</v>
      </c>
      <c r="O405">
        <v>4.4000000000000004</v>
      </c>
      <c r="P405" t="s">
        <v>16</v>
      </c>
      <c r="Q405" t="s">
        <v>18</v>
      </c>
      <c r="R405" s="2">
        <f>Table4[[#This Row],[total_followers]]/(Table4[[#This Row],[total_time_streamed]] / 60)</f>
        <v>6931.8905155951625</v>
      </c>
      <c r="S405" t="str">
        <f>IF(Table4[[#This Row],[avg_games_per_stream]] &gt; 2, "Variety", "Focused")</f>
        <v>Focused</v>
      </c>
      <c r="T405" s="4">
        <f>Table4[[#This Row],[avg_viewers_per_stream]] / Table4[[#This Row],[total_followers]]</f>
        <v>4.7823691460055096E-3</v>
      </c>
    </row>
    <row r="406" spans="1:20">
      <c r="A406">
        <v>406</v>
      </c>
      <c r="B406" t="s">
        <v>578</v>
      </c>
      <c r="C406" t="s">
        <v>3</v>
      </c>
      <c r="D406" t="s">
        <v>39</v>
      </c>
      <c r="E406" t="s">
        <v>79</v>
      </c>
      <c r="F406" t="s">
        <v>93</v>
      </c>
      <c r="G406" s="3">
        <v>5.7</v>
      </c>
      <c r="H406">
        <v>3580</v>
      </c>
      <c r="I406">
        <v>1475</v>
      </c>
      <c r="J406">
        <v>1.2</v>
      </c>
      <c r="K406">
        <v>10161</v>
      </c>
      <c r="L406" s="2">
        <v>655000</v>
      </c>
      <c r="M406" s="2">
        <v>2700000</v>
      </c>
      <c r="N406">
        <v>109</v>
      </c>
      <c r="O406">
        <v>5</v>
      </c>
      <c r="P406" t="s">
        <v>15</v>
      </c>
      <c r="Q406" t="s">
        <v>19</v>
      </c>
      <c r="R406" s="2">
        <f>Table4[[#This Row],[total_followers]]/(Table4[[#This Row],[total_time_streamed]] / 60)</f>
        <v>3867.7295541777385</v>
      </c>
      <c r="S406" t="str">
        <f>IF(Table4[[#This Row],[avg_games_per_stream]] &gt; 2, "Variety", "Focused")</f>
        <v>Focused</v>
      </c>
      <c r="T406" s="4">
        <f>Table4[[#This Row],[avg_viewers_per_stream]] / Table4[[#This Row],[total_followers]]</f>
        <v>2.251908396946565E-3</v>
      </c>
    </row>
    <row r="407" spans="1:20">
      <c r="A407">
        <v>407</v>
      </c>
      <c r="B407" t="s">
        <v>579</v>
      </c>
      <c r="C407" t="s">
        <v>5</v>
      </c>
      <c r="D407" t="s">
        <v>39</v>
      </c>
      <c r="E407" t="s">
        <v>51</v>
      </c>
      <c r="F407" t="s">
        <v>54</v>
      </c>
      <c r="G407" s="3">
        <v>3.5</v>
      </c>
      <c r="H407">
        <v>1310</v>
      </c>
      <c r="I407">
        <v>2083</v>
      </c>
      <c r="J407">
        <v>1.2</v>
      </c>
      <c r="K407">
        <v>6668</v>
      </c>
      <c r="L407" s="2">
        <v>267000</v>
      </c>
      <c r="M407" s="2">
        <v>4240000</v>
      </c>
      <c r="N407">
        <v>274</v>
      </c>
      <c r="O407">
        <v>5.3</v>
      </c>
      <c r="P407" t="s">
        <v>14</v>
      </c>
      <c r="Q407" t="s">
        <v>14</v>
      </c>
      <c r="R407" s="2">
        <f>Table4[[#This Row],[total_followers]]/(Table4[[#This Row],[total_time_streamed]] / 60)</f>
        <v>2402.5194961007796</v>
      </c>
      <c r="S407" t="str">
        <f>IF(Table4[[#This Row],[avg_games_per_stream]] &gt; 2, "Variety", "Focused")</f>
        <v>Focused</v>
      </c>
      <c r="T407" s="4">
        <f>Table4[[#This Row],[avg_viewers_per_stream]] / Table4[[#This Row],[total_followers]]</f>
        <v>7.8014981273408241E-3</v>
      </c>
    </row>
    <row r="408" spans="1:20">
      <c r="A408">
        <v>408</v>
      </c>
      <c r="B408" t="s">
        <v>580</v>
      </c>
      <c r="C408" t="s">
        <v>7</v>
      </c>
      <c r="D408" t="s">
        <v>39</v>
      </c>
      <c r="E408" t="s">
        <v>46</v>
      </c>
      <c r="F408" t="s">
        <v>40</v>
      </c>
      <c r="G408" s="3">
        <v>4.8</v>
      </c>
      <c r="H408">
        <v>7720</v>
      </c>
      <c r="I408">
        <v>2006</v>
      </c>
      <c r="J408">
        <v>2.2999999999999998</v>
      </c>
      <c r="K408">
        <v>4392</v>
      </c>
      <c r="L408" s="2">
        <v>732000</v>
      </c>
      <c r="M408" s="2">
        <v>1900000</v>
      </c>
      <c r="N408">
        <v>115</v>
      </c>
      <c r="O408">
        <v>3.2</v>
      </c>
      <c r="P408" t="s">
        <v>17</v>
      </c>
      <c r="Q408" t="s">
        <v>14</v>
      </c>
      <c r="R408" s="2">
        <f>Table4[[#This Row],[total_followers]]/(Table4[[#This Row],[total_time_streamed]] / 60)</f>
        <v>10000</v>
      </c>
      <c r="S408" t="str">
        <f>IF(Table4[[#This Row],[avg_games_per_stream]] &gt; 2, "Variety", "Focused")</f>
        <v>Variety</v>
      </c>
      <c r="T408" s="4">
        <f>Table4[[#This Row],[avg_viewers_per_stream]] / Table4[[#This Row],[total_followers]]</f>
        <v>2.7404371584699451E-3</v>
      </c>
    </row>
    <row r="409" spans="1:20">
      <c r="A409">
        <v>409</v>
      </c>
      <c r="B409" t="s">
        <v>581</v>
      </c>
      <c r="C409" t="s">
        <v>4</v>
      </c>
      <c r="D409" t="s">
        <v>39</v>
      </c>
      <c r="E409" t="s">
        <v>88</v>
      </c>
      <c r="F409" t="s">
        <v>582</v>
      </c>
      <c r="G409" s="3">
        <v>6.9</v>
      </c>
      <c r="H409">
        <v>2240</v>
      </c>
      <c r="I409">
        <v>847</v>
      </c>
      <c r="J409">
        <v>1.3</v>
      </c>
      <c r="K409">
        <v>15457</v>
      </c>
      <c r="L409" s="2">
        <v>804000</v>
      </c>
      <c r="M409" s="2">
        <v>30400000</v>
      </c>
      <c r="N409">
        <v>92</v>
      </c>
      <c r="O409">
        <v>5.7</v>
      </c>
      <c r="P409" t="s">
        <v>14</v>
      </c>
      <c r="Q409" t="s">
        <v>14</v>
      </c>
      <c r="R409" s="2">
        <f>Table4[[#This Row],[total_followers]]/(Table4[[#This Row],[total_time_streamed]] / 60)</f>
        <v>3120.9160897975025</v>
      </c>
      <c r="S409" t="str">
        <f>IF(Table4[[#This Row],[avg_games_per_stream]] &gt; 2, "Variety", "Focused")</f>
        <v>Focused</v>
      </c>
      <c r="T409" s="4">
        <f>Table4[[#This Row],[avg_viewers_per_stream]] / Table4[[#This Row],[total_followers]]</f>
        <v>1.0534825870646767E-3</v>
      </c>
    </row>
    <row r="410" spans="1:20">
      <c r="A410">
        <v>410</v>
      </c>
      <c r="B410" t="s">
        <v>583</v>
      </c>
      <c r="C410" t="s">
        <v>6</v>
      </c>
      <c r="D410" t="s">
        <v>39</v>
      </c>
      <c r="E410" t="s">
        <v>46</v>
      </c>
      <c r="F410" t="s">
        <v>85</v>
      </c>
      <c r="G410" s="3">
        <v>5.8</v>
      </c>
      <c r="H410">
        <v>1780</v>
      </c>
      <c r="I410">
        <v>1451</v>
      </c>
      <c r="J410">
        <v>1.4</v>
      </c>
      <c r="K410">
        <v>5592</v>
      </c>
      <c r="L410" s="2">
        <v>163000</v>
      </c>
      <c r="M410" s="2">
        <v>1340000</v>
      </c>
      <c r="N410">
        <v>25</v>
      </c>
      <c r="O410">
        <v>3.9</v>
      </c>
      <c r="P410" t="s">
        <v>20</v>
      </c>
      <c r="Q410" t="s">
        <v>17</v>
      </c>
      <c r="R410" s="2">
        <f>Table4[[#This Row],[total_followers]]/(Table4[[#This Row],[total_time_streamed]] / 60)</f>
        <v>1748.9270386266094</v>
      </c>
      <c r="S410" t="str">
        <f>IF(Table4[[#This Row],[avg_games_per_stream]] &gt; 2, "Variety", "Focused")</f>
        <v>Focused</v>
      </c>
      <c r="T410" s="4">
        <f>Table4[[#This Row],[avg_viewers_per_stream]] / Table4[[#This Row],[total_followers]]</f>
        <v>8.9018404907975461E-3</v>
      </c>
    </row>
    <row r="411" spans="1:20">
      <c r="A411">
        <v>411</v>
      </c>
      <c r="B411" t="s">
        <v>584</v>
      </c>
      <c r="C411" t="s">
        <v>61</v>
      </c>
      <c r="D411" t="s">
        <v>39</v>
      </c>
      <c r="E411" t="s">
        <v>40</v>
      </c>
      <c r="F411" t="s">
        <v>66</v>
      </c>
      <c r="G411" s="3">
        <v>7.5</v>
      </c>
      <c r="H411">
        <v>3680</v>
      </c>
      <c r="I411">
        <v>1762</v>
      </c>
      <c r="J411">
        <v>2.4</v>
      </c>
      <c r="K411">
        <v>6296</v>
      </c>
      <c r="L411" s="2">
        <v>327000</v>
      </c>
      <c r="M411" s="2">
        <v>1560000</v>
      </c>
      <c r="N411">
        <v>119</v>
      </c>
      <c r="O411">
        <v>3.4</v>
      </c>
      <c r="P411" t="s">
        <v>18</v>
      </c>
      <c r="Q411" t="s">
        <v>16</v>
      </c>
      <c r="R411" s="2">
        <f>Table4[[#This Row],[total_followers]]/(Table4[[#This Row],[total_time_streamed]] / 60)</f>
        <v>3116.2642947903428</v>
      </c>
      <c r="S411" t="str">
        <f>IF(Table4[[#This Row],[avg_games_per_stream]] &gt; 2, "Variety", "Focused")</f>
        <v>Variety</v>
      </c>
      <c r="T411" s="4">
        <f>Table4[[#This Row],[avg_viewers_per_stream]] / Table4[[#This Row],[total_followers]]</f>
        <v>5.3883792048929667E-3</v>
      </c>
    </row>
    <row r="412" spans="1:20">
      <c r="A412">
        <v>412</v>
      </c>
      <c r="B412" t="s">
        <v>585</v>
      </c>
      <c r="C412" t="s">
        <v>3</v>
      </c>
      <c r="D412" t="s">
        <v>39</v>
      </c>
      <c r="E412" t="s">
        <v>51</v>
      </c>
      <c r="F412" t="s">
        <v>54</v>
      </c>
      <c r="G412" s="3">
        <v>6.1</v>
      </c>
      <c r="H412">
        <v>1675</v>
      </c>
      <c r="I412">
        <v>19614</v>
      </c>
      <c r="J412">
        <v>2.2999999999999998</v>
      </c>
      <c r="K412">
        <v>7796</v>
      </c>
      <c r="L412" s="2">
        <v>2190000</v>
      </c>
      <c r="M412" s="2">
        <v>25600000</v>
      </c>
      <c r="N412">
        <v>159</v>
      </c>
      <c r="O412">
        <v>4.2</v>
      </c>
      <c r="P412" t="s">
        <v>19</v>
      </c>
      <c r="Q412" t="s">
        <v>15</v>
      </c>
      <c r="R412" s="2">
        <f>Table4[[#This Row],[total_followers]]/(Table4[[#This Row],[total_time_streamed]] / 60)</f>
        <v>16854.79733196511</v>
      </c>
      <c r="S412" t="str">
        <f>IF(Table4[[#This Row],[avg_games_per_stream]] &gt; 2, "Variety", "Focused")</f>
        <v>Variety</v>
      </c>
      <c r="T412" s="4">
        <f>Table4[[#This Row],[avg_viewers_per_stream]] / Table4[[#This Row],[total_followers]]</f>
        <v>8.9561643835616433E-3</v>
      </c>
    </row>
    <row r="413" spans="1:20">
      <c r="A413">
        <v>413</v>
      </c>
      <c r="B413" t="s">
        <v>586</v>
      </c>
      <c r="C413" t="s">
        <v>3</v>
      </c>
      <c r="D413" t="s">
        <v>39</v>
      </c>
      <c r="E413" t="s">
        <v>40</v>
      </c>
      <c r="F413" t="s">
        <v>66</v>
      </c>
      <c r="G413" s="3">
        <v>3.4</v>
      </c>
      <c r="H413">
        <v>1462</v>
      </c>
      <c r="I413">
        <v>8318</v>
      </c>
      <c r="J413">
        <v>1.7</v>
      </c>
      <c r="K413">
        <v>4654</v>
      </c>
      <c r="L413" s="2">
        <v>1860000</v>
      </c>
      <c r="M413" s="2">
        <v>10600000</v>
      </c>
      <c r="N413">
        <v>376</v>
      </c>
      <c r="O413">
        <v>5.2</v>
      </c>
      <c r="P413" t="s">
        <v>17</v>
      </c>
      <c r="Q413" t="s">
        <v>19</v>
      </c>
      <c r="R413" s="2">
        <f>Table4[[#This Row],[total_followers]]/(Table4[[#This Row],[total_time_streamed]] / 60)</f>
        <v>23979.37258272454</v>
      </c>
      <c r="S413" t="str">
        <f>IF(Table4[[#This Row],[avg_games_per_stream]] &gt; 2, "Variety", "Focused")</f>
        <v>Focused</v>
      </c>
      <c r="T413" s="4">
        <f>Table4[[#This Row],[avg_viewers_per_stream]] / Table4[[#This Row],[total_followers]]</f>
        <v>4.472043010752688E-3</v>
      </c>
    </row>
    <row r="414" spans="1:20">
      <c r="A414">
        <v>414</v>
      </c>
      <c r="B414" t="s">
        <v>587</v>
      </c>
      <c r="C414" t="s">
        <v>6</v>
      </c>
      <c r="D414" t="s">
        <v>39</v>
      </c>
      <c r="E414" t="s">
        <v>85</v>
      </c>
      <c r="F414" t="s">
        <v>66</v>
      </c>
      <c r="G414" s="3">
        <v>19.600000000000001</v>
      </c>
      <c r="H414">
        <v>2320</v>
      </c>
      <c r="I414">
        <v>350</v>
      </c>
      <c r="J414">
        <v>1.1000000000000001</v>
      </c>
      <c r="K414">
        <v>5822</v>
      </c>
      <c r="L414" s="2">
        <v>47800</v>
      </c>
      <c r="M414" s="2">
        <v>7200</v>
      </c>
      <c r="N414">
        <v>11</v>
      </c>
      <c r="O414">
        <v>1.2</v>
      </c>
      <c r="P414" t="s">
        <v>20</v>
      </c>
      <c r="Q414" t="s">
        <v>15</v>
      </c>
      <c r="R414" s="2">
        <f>Table4[[#This Row],[total_followers]]/(Table4[[#This Row],[total_time_streamed]] / 60)</f>
        <v>492.61422191686705</v>
      </c>
      <c r="S414" t="str">
        <f>IF(Table4[[#This Row],[avg_games_per_stream]] &gt; 2, "Variety", "Focused")</f>
        <v>Focused</v>
      </c>
      <c r="T414" s="4">
        <f>Table4[[#This Row],[avg_viewers_per_stream]] / Table4[[#This Row],[total_followers]]</f>
        <v>7.3221757322175732E-3</v>
      </c>
    </row>
    <row r="415" spans="1:20">
      <c r="A415">
        <v>415</v>
      </c>
      <c r="B415" t="s">
        <v>588</v>
      </c>
      <c r="C415" t="s">
        <v>7</v>
      </c>
      <c r="D415" t="s">
        <v>39</v>
      </c>
      <c r="E415" t="s">
        <v>51</v>
      </c>
      <c r="F415" t="s">
        <v>46</v>
      </c>
      <c r="G415" s="3">
        <v>4</v>
      </c>
      <c r="H415">
        <v>3700</v>
      </c>
      <c r="I415">
        <v>30015</v>
      </c>
      <c r="J415">
        <v>1.3</v>
      </c>
      <c r="K415">
        <v>8018</v>
      </c>
      <c r="L415" s="2">
        <v>1070000</v>
      </c>
      <c r="M415" s="2">
        <v>79800000</v>
      </c>
      <c r="N415">
        <v>525</v>
      </c>
      <c r="O415">
        <v>5.0999999999999996</v>
      </c>
      <c r="P415" t="s">
        <v>17</v>
      </c>
      <c r="Q415" t="s">
        <v>14</v>
      </c>
      <c r="R415" s="2">
        <f>Table4[[#This Row],[total_followers]]/(Table4[[#This Row],[total_time_streamed]] / 60)</f>
        <v>8006.9842853579448</v>
      </c>
      <c r="S415" t="str">
        <f>IF(Table4[[#This Row],[avg_games_per_stream]] &gt; 2, "Variety", "Focused")</f>
        <v>Focused</v>
      </c>
      <c r="T415" s="4">
        <f>Table4[[#This Row],[avg_viewers_per_stream]] / Table4[[#This Row],[total_followers]]</f>
        <v>2.8051401869158877E-2</v>
      </c>
    </row>
    <row r="416" spans="1:20">
      <c r="A416">
        <v>416</v>
      </c>
      <c r="B416" t="s">
        <v>589</v>
      </c>
      <c r="C416" t="s">
        <v>63</v>
      </c>
      <c r="D416" t="s">
        <v>39</v>
      </c>
      <c r="E416" t="s">
        <v>64</v>
      </c>
      <c r="F416" t="s">
        <v>40</v>
      </c>
      <c r="G416" s="3">
        <v>3.8</v>
      </c>
      <c r="H416">
        <v>4460</v>
      </c>
      <c r="I416">
        <v>6927</v>
      </c>
      <c r="J416">
        <v>1.6</v>
      </c>
      <c r="K416">
        <v>2137</v>
      </c>
      <c r="L416" s="2">
        <v>255000</v>
      </c>
      <c r="M416" s="2">
        <v>3950000</v>
      </c>
      <c r="N416">
        <v>60</v>
      </c>
      <c r="O416">
        <v>1.4</v>
      </c>
      <c r="P416" t="s">
        <v>14</v>
      </c>
      <c r="Q416" t="s">
        <v>15</v>
      </c>
      <c r="R416" s="2">
        <f>Table4[[#This Row],[total_followers]]/(Table4[[#This Row],[total_time_streamed]] / 60)</f>
        <v>7159.5694899391674</v>
      </c>
      <c r="S416" t="str">
        <f>IF(Table4[[#This Row],[avg_games_per_stream]] &gt; 2, "Variety", "Focused")</f>
        <v>Focused</v>
      </c>
      <c r="T416" s="4">
        <f>Table4[[#This Row],[avg_viewers_per_stream]] / Table4[[#This Row],[total_followers]]</f>
        <v>2.7164705882352942E-2</v>
      </c>
    </row>
    <row r="417" spans="1:20">
      <c r="A417">
        <v>417</v>
      </c>
      <c r="B417" t="s">
        <v>590</v>
      </c>
      <c r="C417" t="s">
        <v>6</v>
      </c>
      <c r="D417" t="s">
        <v>39</v>
      </c>
      <c r="E417" t="s">
        <v>85</v>
      </c>
      <c r="G417" s="3">
        <v>20.399999999999999</v>
      </c>
      <c r="H417">
        <v>310</v>
      </c>
      <c r="I417">
        <v>0</v>
      </c>
      <c r="J417">
        <v>1</v>
      </c>
      <c r="K417">
        <v>1630</v>
      </c>
      <c r="L417" s="2">
        <v>1500</v>
      </c>
      <c r="M417" s="2">
        <v>0</v>
      </c>
      <c r="N417">
        <v>1</v>
      </c>
      <c r="O417">
        <v>2.2999999999999998</v>
      </c>
      <c r="P417" t="s">
        <v>18</v>
      </c>
      <c r="Q417" t="s">
        <v>20</v>
      </c>
      <c r="R417" s="2">
        <f>Table4[[#This Row],[total_followers]]/(Table4[[#This Row],[total_time_streamed]] / 60)</f>
        <v>55.214723926380366</v>
      </c>
      <c r="S417" t="str">
        <f>IF(Table4[[#This Row],[avg_games_per_stream]] &gt; 2, "Variety", "Focused")</f>
        <v>Focused</v>
      </c>
      <c r="T417" s="4">
        <f>Table4[[#This Row],[avg_viewers_per_stream]] / Table4[[#This Row],[total_followers]]</f>
        <v>0</v>
      </c>
    </row>
    <row r="418" spans="1:20">
      <c r="A418">
        <v>418</v>
      </c>
      <c r="B418" t="s">
        <v>591</v>
      </c>
      <c r="C418" t="s">
        <v>3</v>
      </c>
      <c r="D418" t="s">
        <v>39</v>
      </c>
      <c r="E418" t="s">
        <v>314</v>
      </c>
      <c r="F418" t="s">
        <v>592</v>
      </c>
      <c r="G418" s="3">
        <v>4.2</v>
      </c>
      <c r="H418">
        <v>6100</v>
      </c>
      <c r="I418">
        <v>2761</v>
      </c>
      <c r="J418">
        <v>1.1000000000000001</v>
      </c>
      <c r="K418">
        <v>2494</v>
      </c>
      <c r="L418" s="2">
        <v>356000</v>
      </c>
      <c r="M418" s="2">
        <v>1610000</v>
      </c>
      <c r="N418">
        <v>33</v>
      </c>
      <c r="O418">
        <v>1.9</v>
      </c>
      <c r="P418" t="s">
        <v>19</v>
      </c>
      <c r="Q418" t="s">
        <v>18</v>
      </c>
      <c r="R418" s="2">
        <f>Table4[[#This Row],[total_followers]]/(Table4[[#This Row],[total_time_streamed]] / 60)</f>
        <v>8564.5549318364065</v>
      </c>
      <c r="S418" t="str">
        <f>IF(Table4[[#This Row],[avg_games_per_stream]] &gt; 2, "Variety", "Focused")</f>
        <v>Focused</v>
      </c>
      <c r="T418" s="4">
        <f>Table4[[#This Row],[avg_viewers_per_stream]] / Table4[[#This Row],[total_followers]]</f>
        <v>7.75561797752809E-3</v>
      </c>
    </row>
    <row r="419" spans="1:20">
      <c r="A419">
        <v>419</v>
      </c>
      <c r="B419" t="s">
        <v>593</v>
      </c>
      <c r="C419" t="s">
        <v>61</v>
      </c>
      <c r="D419" t="s">
        <v>39</v>
      </c>
      <c r="E419" t="s">
        <v>40</v>
      </c>
      <c r="F419" t="s">
        <v>150</v>
      </c>
      <c r="G419" s="3">
        <v>4.3</v>
      </c>
      <c r="H419">
        <v>3250</v>
      </c>
      <c r="I419">
        <v>1166</v>
      </c>
      <c r="J419">
        <v>1</v>
      </c>
      <c r="K419">
        <v>2841</v>
      </c>
      <c r="L419" s="2">
        <v>215000</v>
      </c>
      <c r="M419" s="2">
        <v>773000</v>
      </c>
      <c r="N419">
        <v>16</v>
      </c>
      <c r="O419">
        <v>1.9</v>
      </c>
      <c r="P419" t="s">
        <v>20</v>
      </c>
      <c r="Q419" t="s">
        <v>14</v>
      </c>
      <c r="R419" s="2">
        <f>Table4[[#This Row],[total_followers]]/(Table4[[#This Row],[total_time_streamed]] / 60)</f>
        <v>4540.6546990496299</v>
      </c>
      <c r="S419" t="str">
        <f>IF(Table4[[#This Row],[avg_games_per_stream]] &gt; 2, "Variety", "Focused")</f>
        <v>Focused</v>
      </c>
      <c r="T419" s="4">
        <f>Table4[[#This Row],[avg_viewers_per_stream]] / Table4[[#This Row],[total_followers]]</f>
        <v>5.423255813953488E-3</v>
      </c>
    </row>
    <row r="420" spans="1:20">
      <c r="A420">
        <v>420</v>
      </c>
      <c r="B420" t="s">
        <v>594</v>
      </c>
      <c r="C420" t="s">
        <v>63</v>
      </c>
      <c r="D420" t="s">
        <v>39</v>
      </c>
      <c r="E420" t="s">
        <v>595</v>
      </c>
      <c r="G420" s="3">
        <v>8.1999999999999993</v>
      </c>
      <c r="H420">
        <v>30</v>
      </c>
      <c r="I420">
        <v>0</v>
      </c>
      <c r="J420">
        <v>1</v>
      </c>
      <c r="K420">
        <v>160</v>
      </c>
      <c r="L420" s="2">
        <v>280</v>
      </c>
      <c r="M420" s="2">
        <v>0</v>
      </c>
      <c r="N420">
        <v>1</v>
      </c>
      <c r="O420">
        <v>2</v>
      </c>
      <c r="P420" t="s">
        <v>17</v>
      </c>
      <c r="Q420" t="s">
        <v>19</v>
      </c>
      <c r="R420" s="2">
        <f>Table4[[#This Row],[total_followers]]/(Table4[[#This Row],[total_time_streamed]] / 60)</f>
        <v>105</v>
      </c>
      <c r="S420" t="str">
        <f>IF(Table4[[#This Row],[avg_games_per_stream]] &gt; 2, "Variety", "Focused")</f>
        <v>Focused</v>
      </c>
      <c r="T420" s="4">
        <f>Table4[[#This Row],[avg_viewers_per_stream]] / Table4[[#This Row],[total_followers]]</f>
        <v>0</v>
      </c>
    </row>
    <row r="421" spans="1:20">
      <c r="A421">
        <v>421</v>
      </c>
      <c r="B421" t="s">
        <v>596</v>
      </c>
      <c r="C421" t="s">
        <v>61</v>
      </c>
      <c r="D421" t="s">
        <v>39</v>
      </c>
      <c r="E421" t="s">
        <v>88</v>
      </c>
      <c r="F421" t="s">
        <v>74</v>
      </c>
      <c r="G421" s="3">
        <v>6.7</v>
      </c>
      <c r="H421">
        <v>4320</v>
      </c>
      <c r="I421">
        <v>8098</v>
      </c>
      <c r="J421">
        <v>2.1</v>
      </c>
      <c r="K421">
        <v>10976</v>
      </c>
      <c r="L421" s="2">
        <v>715000</v>
      </c>
      <c r="M421" s="2">
        <v>12400000</v>
      </c>
      <c r="N421">
        <v>144</v>
      </c>
      <c r="O421">
        <v>4.2</v>
      </c>
      <c r="P421" t="s">
        <v>20</v>
      </c>
      <c r="Q421" t="s">
        <v>14</v>
      </c>
      <c r="R421" s="2">
        <f>Table4[[#This Row],[total_followers]]/(Table4[[#This Row],[total_time_streamed]] / 60)</f>
        <v>3908.5276967930026</v>
      </c>
      <c r="S421" t="str">
        <f>IF(Table4[[#This Row],[avg_games_per_stream]] &gt; 2, "Variety", "Focused")</f>
        <v>Variety</v>
      </c>
      <c r="T421" s="4">
        <f>Table4[[#This Row],[avg_viewers_per_stream]] / Table4[[#This Row],[total_followers]]</f>
        <v>1.1325874125874125E-2</v>
      </c>
    </row>
    <row r="422" spans="1:20">
      <c r="A422">
        <v>422</v>
      </c>
      <c r="B422" t="s">
        <v>597</v>
      </c>
      <c r="C422" t="s">
        <v>63</v>
      </c>
      <c r="D422" t="s">
        <v>39</v>
      </c>
      <c r="E422" t="s">
        <v>64</v>
      </c>
      <c r="F422" t="s">
        <v>598</v>
      </c>
      <c r="G422" s="3">
        <v>7.3</v>
      </c>
      <c r="H422">
        <v>1480</v>
      </c>
      <c r="I422">
        <v>36828</v>
      </c>
      <c r="J422">
        <v>1.9</v>
      </c>
      <c r="K422">
        <v>15004</v>
      </c>
      <c r="L422" s="2">
        <v>430000</v>
      </c>
      <c r="M422" s="2">
        <v>89700000</v>
      </c>
      <c r="N422">
        <v>737</v>
      </c>
      <c r="O422">
        <v>5.2</v>
      </c>
      <c r="P422" t="s">
        <v>14</v>
      </c>
      <c r="Q422" t="s">
        <v>14</v>
      </c>
      <c r="R422" s="2">
        <f>Table4[[#This Row],[total_followers]]/(Table4[[#This Row],[total_time_streamed]] / 60)</f>
        <v>1719.5414556118369</v>
      </c>
      <c r="S422" t="str">
        <f>IF(Table4[[#This Row],[avg_games_per_stream]] &gt; 2, "Variety", "Focused")</f>
        <v>Focused</v>
      </c>
      <c r="T422" s="4">
        <f>Table4[[#This Row],[avg_viewers_per_stream]] / Table4[[#This Row],[total_followers]]</f>
        <v>8.5646511627906971E-2</v>
      </c>
    </row>
    <row r="423" spans="1:20">
      <c r="A423">
        <v>423</v>
      </c>
      <c r="B423" t="s">
        <v>599</v>
      </c>
      <c r="C423" t="s">
        <v>91</v>
      </c>
      <c r="D423" t="s">
        <v>39</v>
      </c>
      <c r="E423" t="s">
        <v>40</v>
      </c>
      <c r="F423" t="s">
        <v>66</v>
      </c>
      <c r="G423" s="3">
        <v>3</v>
      </c>
      <c r="H423">
        <v>1296</v>
      </c>
      <c r="I423">
        <v>11838</v>
      </c>
      <c r="J423">
        <v>1.3</v>
      </c>
      <c r="K423">
        <v>2472</v>
      </c>
      <c r="L423" s="2">
        <v>1020000</v>
      </c>
      <c r="M423" s="2">
        <v>9330000</v>
      </c>
      <c r="N423">
        <v>52</v>
      </c>
      <c r="O423">
        <v>4.3</v>
      </c>
      <c r="P423" t="s">
        <v>20</v>
      </c>
      <c r="Q423" t="s">
        <v>15</v>
      </c>
      <c r="R423" s="2">
        <f>Table4[[#This Row],[total_followers]]/(Table4[[#This Row],[total_time_streamed]] / 60)</f>
        <v>24757.281553398057</v>
      </c>
      <c r="S423" t="str">
        <f>IF(Table4[[#This Row],[avg_games_per_stream]] &gt; 2, "Variety", "Focused")</f>
        <v>Focused</v>
      </c>
      <c r="T423" s="4">
        <f>Table4[[#This Row],[avg_viewers_per_stream]] / Table4[[#This Row],[total_followers]]</f>
        <v>1.1605882352941176E-2</v>
      </c>
    </row>
    <row r="424" spans="1:20">
      <c r="A424">
        <v>424</v>
      </c>
      <c r="B424" t="s">
        <v>600</v>
      </c>
      <c r="C424" t="s">
        <v>7</v>
      </c>
      <c r="D424" t="s">
        <v>39</v>
      </c>
      <c r="E424" t="s">
        <v>66</v>
      </c>
      <c r="F424" t="s">
        <v>40</v>
      </c>
      <c r="G424" s="3">
        <v>4.5</v>
      </c>
      <c r="H424">
        <v>1480</v>
      </c>
      <c r="I424">
        <v>1544</v>
      </c>
      <c r="J424">
        <v>1.5</v>
      </c>
      <c r="K424">
        <v>6225</v>
      </c>
      <c r="L424" s="2">
        <v>209000</v>
      </c>
      <c r="M424" s="2">
        <v>2180000</v>
      </c>
      <c r="N424">
        <v>65</v>
      </c>
      <c r="O424">
        <v>4.5</v>
      </c>
      <c r="P424" t="s">
        <v>17</v>
      </c>
      <c r="Q424" t="s">
        <v>14</v>
      </c>
      <c r="R424" s="2">
        <f>Table4[[#This Row],[total_followers]]/(Table4[[#This Row],[total_time_streamed]] / 60)</f>
        <v>2014.4578313253012</v>
      </c>
      <c r="S424" t="str">
        <f>IF(Table4[[#This Row],[avg_games_per_stream]] &gt; 2, "Variety", "Focused")</f>
        <v>Focused</v>
      </c>
      <c r="T424" s="4">
        <f>Table4[[#This Row],[avg_viewers_per_stream]] / Table4[[#This Row],[total_followers]]</f>
        <v>7.3875598086124402E-3</v>
      </c>
    </row>
    <row r="425" spans="1:20">
      <c r="A425">
        <v>425</v>
      </c>
      <c r="B425" t="s">
        <v>601</v>
      </c>
      <c r="C425" t="s">
        <v>3</v>
      </c>
      <c r="D425" t="s">
        <v>39</v>
      </c>
      <c r="E425" t="s">
        <v>602</v>
      </c>
      <c r="F425" t="s">
        <v>40</v>
      </c>
      <c r="G425" s="3">
        <v>21.8</v>
      </c>
      <c r="H425">
        <v>5460</v>
      </c>
      <c r="I425">
        <v>4040</v>
      </c>
      <c r="J425">
        <v>1.8</v>
      </c>
      <c r="K425">
        <v>13847</v>
      </c>
      <c r="L425" s="2">
        <v>204000</v>
      </c>
      <c r="M425" s="2">
        <v>155000</v>
      </c>
      <c r="N425">
        <v>28</v>
      </c>
      <c r="O425">
        <v>4.3</v>
      </c>
      <c r="P425" t="s">
        <v>19</v>
      </c>
      <c r="Q425" t="s">
        <v>18</v>
      </c>
      <c r="R425" s="2">
        <f>Table4[[#This Row],[total_followers]]/(Table4[[#This Row],[total_time_streamed]] / 60)</f>
        <v>883.9459810789341</v>
      </c>
      <c r="S425" t="str">
        <f>IF(Table4[[#This Row],[avg_games_per_stream]] &gt; 2, "Variety", "Focused")</f>
        <v>Focused</v>
      </c>
      <c r="T425" s="4">
        <f>Table4[[#This Row],[avg_viewers_per_stream]] / Table4[[#This Row],[total_followers]]</f>
        <v>1.9803921568627449E-2</v>
      </c>
    </row>
    <row r="426" spans="1:20">
      <c r="A426">
        <v>426</v>
      </c>
      <c r="B426" t="s">
        <v>603</v>
      </c>
      <c r="C426" t="s">
        <v>4</v>
      </c>
      <c r="D426" t="s">
        <v>39</v>
      </c>
      <c r="E426" t="s">
        <v>68</v>
      </c>
      <c r="F426" t="s">
        <v>54</v>
      </c>
      <c r="G426" s="3">
        <v>4.2</v>
      </c>
      <c r="H426">
        <v>5630</v>
      </c>
      <c r="I426">
        <v>8440</v>
      </c>
      <c r="J426">
        <v>1.3</v>
      </c>
      <c r="K426">
        <v>3318</v>
      </c>
      <c r="L426" s="2">
        <v>464000</v>
      </c>
      <c r="M426" s="2">
        <v>696000</v>
      </c>
      <c r="N426">
        <v>94</v>
      </c>
      <c r="O426">
        <v>4.0999999999999996</v>
      </c>
      <c r="P426" t="s">
        <v>15</v>
      </c>
      <c r="Q426" t="s">
        <v>14</v>
      </c>
      <c r="R426" s="2">
        <f>Table4[[#This Row],[total_followers]]/(Table4[[#This Row],[total_time_streamed]] / 60)</f>
        <v>8390.5967450271255</v>
      </c>
      <c r="S426" t="str">
        <f>IF(Table4[[#This Row],[avg_games_per_stream]] &gt; 2, "Variety", "Focused")</f>
        <v>Focused</v>
      </c>
      <c r="T426" s="4">
        <f>Table4[[#This Row],[avg_viewers_per_stream]] / Table4[[#This Row],[total_followers]]</f>
        <v>1.8189655172413794E-2</v>
      </c>
    </row>
    <row r="427" spans="1:20">
      <c r="A427">
        <v>427</v>
      </c>
      <c r="B427" t="s">
        <v>604</v>
      </c>
      <c r="C427" t="s">
        <v>4</v>
      </c>
      <c r="D427" t="s">
        <v>58</v>
      </c>
      <c r="E427" t="s">
        <v>121</v>
      </c>
      <c r="F427" t="s">
        <v>605</v>
      </c>
      <c r="G427" s="3">
        <v>4.2</v>
      </c>
      <c r="H427">
        <v>4210</v>
      </c>
      <c r="I427">
        <v>9353</v>
      </c>
      <c r="J427">
        <v>1</v>
      </c>
      <c r="K427">
        <v>4393</v>
      </c>
      <c r="L427" s="2">
        <v>433000</v>
      </c>
      <c r="M427" s="2">
        <v>9890000</v>
      </c>
      <c r="N427">
        <v>3</v>
      </c>
      <c r="O427">
        <v>2.6</v>
      </c>
      <c r="P427" t="s">
        <v>19</v>
      </c>
      <c r="Q427" t="s">
        <v>14</v>
      </c>
      <c r="R427" s="2">
        <f>Table4[[#This Row],[total_followers]]/(Table4[[#This Row],[total_time_streamed]] / 60)</f>
        <v>5913.95401775552</v>
      </c>
      <c r="S427" t="str">
        <f>IF(Table4[[#This Row],[avg_games_per_stream]] &gt; 2, "Variety", "Focused")</f>
        <v>Focused</v>
      </c>
      <c r="T427" s="4">
        <f>Table4[[#This Row],[avg_viewers_per_stream]] / Table4[[#This Row],[total_followers]]</f>
        <v>2.1600461893764435E-2</v>
      </c>
    </row>
    <row r="428" spans="1:20">
      <c r="A428">
        <v>428</v>
      </c>
      <c r="B428" t="s">
        <v>606</v>
      </c>
      <c r="C428" t="s">
        <v>2</v>
      </c>
      <c r="D428" t="s">
        <v>39</v>
      </c>
      <c r="E428" t="s">
        <v>104</v>
      </c>
      <c r="F428" t="s">
        <v>607</v>
      </c>
      <c r="G428" s="3">
        <v>3.9</v>
      </c>
      <c r="H428">
        <v>1500</v>
      </c>
      <c r="I428">
        <v>21024</v>
      </c>
      <c r="J428">
        <v>1</v>
      </c>
      <c r="K428">
        <v>2303</v>
      </c>
      <c r="L428" s="2">
        <v>164000</v>
      </c>
      <c r="M428" s="2">
        <v>22700000</v>
      </c>
      <c r="N428">
        <v>12</v>
      </c>
      <c r="O428">
        <v>2.8</v>
      </c>
      <c r="P428" t="s">
        <v>16</v>
      </c>
      <c r="Q428" t="s">
        <v>14</v>
      </c>
      <c r="R428" s="2">
        <f>Table4[[#This Row],[total_followers]]/(Table4[[#This Row],[total_time_streamed]] / 60)</f>
        <v>4272.6877985236652</v>
      </c>
      <c r="S428" t="str">
        <f>IF(Table4[[#This Row],[avg_games_per_stream]] &gt; 2, "Variety", "Focused")</f>
        <v>Focused</v>
      </c>
      <c r="T428" s="4">
        <f>Table4[[#This Row],[avg_viewers_per_stream]] / Table4[[#This Row],[total_followers]]</f>
        <v>0.12819512195121952</v>
      </c>
    </row>
    <row r="429" spans="1:20">
      <c r="A429">
        <v>429</v>
      </c>
      <c r="B429" t="s">
        <v>608</v>
      </c>
      <c r="C429" t="s">
        <v>3</v>
      </c>
      <c r="D429" t="s">
        <v>39</v>
      </c>
      <c r="E429" t="s">
        <v>46</v>
      </c>
      <c r="F429" t="s">
        <v>123</v>
      </c>
      <c r="G429" s="3">
        <v>6.3</v>
      </c>
      <c r="H429">
        <v>2730</v>
      </c>
      <c r="I429">
        <v>25602</v>
      </c>
      <c r="J429">
        <v>1.1000000000000001</v>
      </c>
      <c r="K429">
        <v>13258</v>
      </c>
      <c r="L429" s="2">
        <v>872000</v>
      </c>
      <c r="M429" s="2">
        <v>71100000</v>
      </c>
      <c r="N429">
        <v>68</v>
      </c>
      <c r="O429">
        <v>5.4</v>
      </c>
      <c r="P429" t="s">
        <v>14</v>
      </c>
      <c r="Q429" t="s">
        <v>17</v>
      </c>
      <c r="R429" s="2">
        <f>Table4[[#This Row],[total_followers]]/(Table4[[#This Row],[total_time_streamed]] / 60)</f>
        <v>3946.2965756524363</v>
      </c>
      <c r="S429" t="str">
        <f>IF(Table4[[#This Row],[avg_games_per_stream]] &gt; 2, "Variety", "Focused")</f>
        <v>Focused</v>
      </c>
      <c r="T429" s="4">
        <f>Table4[[#This Row],[avg_viewers_per_stream]] / Table4[[#This Row],[total_followers]]</f>
        <v>2.9360091743119265E-2</v>
      </c>
    </row>
    <row r="430" spans="1:20">
      <c r="A430">
        <v>430</v>
      </c>
      <c r="B430" t="s">
        <v>609</v>
      </c>
      <c r="C430" t="s">
        <v>2</v>
      </c>
      <c r="D430" t="s">
        <v>39</v>
      </c>
      <c r="E430" t="s">
        <v>46</v>
      </c>
      <c r="F430" t="s">
        <v>96</v>
      </c>
      <c r="G430" s="3">
        <v>6.7</v>
      </c>
      <c r="H430">
        <v>620</v>
      </c>
      <c r="I430">
        <v>33312</v>
      </c>
      <c r="J430">
        <v>2</v>
      </c>
      <c r="K430">
        <v>16059</v>
      </c>
      <c r="L430" s="2">
        <v>375000</v>
      </c>
      <c r="M430" s="2">
        <v>149000000</v>
      </c>
      <c r="N430">
        <v>826</v>
      </c>
      <c r="O430">
        <v>5.9</v>
      </c>
      <c r="P430" t="s">
        <v>14</v>
      </c>
      <c r="Q430" t="s">
        <v>16</v>
      </c>
      <c r="R430" s="2">
        <f>Table4[[#This Row],[total_followers]]/(Table4[[#This Row],[total_time_streamed]] / 60)</f>
        <v>1401.0835045768729</v>
      </c>
      <c r="S430" t="str">
        <f>IF(Table4[[#This Row],[avg_games_per_stream]] &gt; 2, "Variety", "Focused")</f>
        <v>Focused</v>
      </c>
      <c r="T430" s="4">
        <f>Table4[[#This Row],[avg_viewers_per_stream]] / Table4[[#This Row],[total_followers]]</f>
        <v>8.8831999999999994E-2</v>
      </c>
    </row>
    <row r="431" spans="1:20">
      <c r="A431">
        <v>431</v>
      </c>
      <c r="B431" t="s">
        <v>610</v>
      </c>
      <c r="C431" t="s">
        <v>160</v>
      </c>
      <c r="D431" t="s">
        <v>39</v>
      </c>
      <c r="E431" t="s">
        <v>46</v>
      </c>
      <c r="F431" t="s">
        <v>40</v>
      </c>
      <c r="G431" s="3">
        <v>7.3</v>
      </c>
      <c r="H431">
        <v>1930</v>
      </c>
      <c r="I431">
        <v>8126</v>
      </c>
      <c r="J431">
        <v>1.4</v>
      </c>
      <c r="K431">
        <v>11671</v>
      </c>
      <c r="L431" s="2">
        <v>336000</v>
      </c>
      <c r="M431" s="2">
        <v>14200000</v>
      </c>
      <c r="N431">
        <v>105</v>
      </c>
      <c r="O431">
        <v>4.5</v>
      </c>
      <c r="P431" t="s">
        <v>20</v>
      </c>
      <c r="Q431" t="s">
        <v>14</v>
      </c>
      <c r="R431" s="2">
        <f>Table4[[#This Row],[total_followers]]/(Table4[[#This Row],[total_time_streamed]] / 60)</f>
        <v>1727.3584097335274</v>
      </c>
      <c r="S431" t="str">
        <f>IF(Table4[[#This Row],[avg_games_per_stream]] &gt; 2, "Variety", "Focused")</f>
        <v>Focused</v>
      </c>
      <c r="T431" s="4">
        <f>Table4[[#This Row],[avg_viewers_per_stream]] / Table4[[#This Row],[total_followers]]</f>
        <v>2.4184523809523809E-2</v>
      </c>
    </row>
    <row r="432" spans="1:20">
      <c r="A432">
        <v>432</v>
      </c>
      <c r="B432" t="s">
        <v>611</v>
      </c>
      <c r="C432" t="s">
        <v>3</v>
      </c>
      <c r="D432" t="s">
        <v>39</v>
      </c>
      <c r="E432" t="s">
        <v>612</v>
      </c>
      <c r="F432" t="s">
        <v>385</v>
      </c>
      <c r="G432" s="3">
        <v>5.5</v>
      </c>
      <c r="H432">
        <v>2130</v>
      </c>
      <c r="I432">
        <v>34434</v>
      </c>
      <c r="J432">
        <v>1.3</v>
      </c>
      <c r="K432">
        <v>7875</v>
      </c>
      <c r="L432" s="2">
        <v>212000</v>
      </c>
      <c r="M432" s="2">
        <v>34700000</v>
      </c>
      <c r="N432">
        <v>90</v>
      </c>
      <c r="O432">
        <v>3.7</v>
      </c>
      <c r="P432" t="s">
        <v>17</v>
      </c>
      <c r="Q432" t="s">
        <v>15</v>
      </c>
      <c r="R432" s="2">
        <f>Table4[[#This Row],[total_followers]]/(Table4[[#This Row],[total_time_streamed]] / 60)</f>
        <v>1615.2380952380952</v>
      </c>
      <c r="S432" t="str">
        <f>IF(Table4[[#This Row],[avg_games_per_stream]] &gt; 2, "Variety", "Focused")</f>
        <v>Focused</v>
      </c>
      <c r="T432" s="4">
        <f>Table4[[#This Row],[avg_viewers_per_stream]] / Table4[[#This Row],[total_followers]]</f>
        <v>0.16242452830188681</v>
      </c>
    </row>
    <row r="433" spans="1:20">
      <c r="A433">
        <v>433</v>
      </c>
      <c r="B433" t="s">
        <v>613</v>
      </c>
      <c r="C433" t="s">
        <v>3</v>
      </c>
      <c r="D433" t="s">
        <v>39</v>
      </c>
      <c r="E433" t="s">
        <v>614</v>
      </c>
      <c r="F433" t="s">
        <v>193</v>
      </c>
      <c r="G433" s="3">
        <v>3.8</v>
      </c>
      <c r="H433">
        <v>2052</v>
      </c>
      <c r="I433">
        <v>2316</v>
      </c>
      <c r="J433">
        <v>1.1000000000000001</v>
      </c>
      <c r="K433">
        <v>5210</v>
      </c>
      <c r="L433" s="2">
        <v>269000</v>
      </c>
      <c r="M433" s="2">
        <v>304000</v>
      </c>
      <c r="N433">
        <v>13</v>
      </c>
      <c r="O433">
        <v>0.6</v>
      </c>
      <c r="P433" t="s">
        <v>19</v>
      </c>
      <c r="Q433" t="s">
        <v>15</v>
      </c>
      <c r="R433" s="2">
        <f>Table4[[#This Row],[total_followers]]/(Table4[[#This Row],[total_time_streamed]] / 60)</f>
        <v>3097.8886756238007</v>
      </c>
      <c r="S433" t="str">
        <f>IF(Table4[[#This Row],[avg_games_per_stream]] &gt; 2, "Variety", "Focused")</f>
        <v>Focused</v>
      </c>
      <c r="T433" s="4">
        <f>Table4[[#This Row],[avg_viewers_per_stream]] / Table4[[#This Row],[total_followers]]</f>
        <v>8.6096654275092943E-3</v>
      </c>
    </row>
    <row r="434" spans="1:20">
      <c r="A434">
        <v>434</v>
      </c>
      <c r="B434" t="s">
        <v>615</v>
      </c>
      <c r="C434" t="s">
        <v>3</v>
      </c>
      <c r="D434" t="s">
        <v>39</v>
      </c>
      <c r="E434" t="s">
        <v>79</v>
      </c>
      <c r="F434" t="s">
        <v>93</v>
      </c>
      <c r="G434" s="3">
        <v>6.8</v>
      </c>
      <c r="H434">
        <v>4500</v>
      </c>
      <c r="I434">
        <v>9513</v>
      </c>
      <c r="J434">
        <v>1.2</v>
      </c>
      <c r="K434">
        <v>12307</v>
      </c>
      <c r="L434" s="2">
        <v>828000</v>
      </c>
      <c r="M434" s="2">
        <v>17600000</v>
      </c>
      <c r="N434">
        <v>65</v>
      </c>
      <c r="O434">
        <v>5.0999999999999996</v>
      </c>
      <c r="P434" t="s">
        <v>19</v>
      </c>
      <c r="Q434" t="s">
        <v>19</v>
      </c>
      <c r="R434" s="2">
        <f>Table4[[#This Row],[total_followers]]/(Table4[[#This Row],[total_time_streamed]] / 60)</f>
        <v>4036.7270658974567</v>
      </c>
      <c r="S434" t="str">
        <f>IF(Table4[[#This Row],[avg_games_per_stream]] &gt; 2, "Variety", "Focused")</f>
        <v>Focused</v>
      </c>
      <c r="T434" s="4">
        <f>Table4[[#This Row],[avg_viewers_per_stream]] / Table4[[#This Row],[total_followers]]</f>
        <v>1.1489130434782609E-2</v>
      </c>
    </row>
    <row r="435" spans="1:20">
      <c r="A435">
        <v>435</v>
      </c>
      <c r="B435" t="s">
        <v>616</v>
      </c>
      <c r="C435" t="s">
        <v>3</v>
      </c>
      <c r="D435" t="s">
        <v>39</v>
      </c>
      <c r="E435" t="s">
        <v>113</v>
      </c>
      <c r="F435" t="s">
        <v>258</v>
      </c>
      <c r="G435" s="3">
        <v>4.9000000000000004</v>
      </c>
      <c r="H435">
        <v>890</v>
      </c>
      <c r="I435">
        <v>2473</v>
      </c>
      <c r="J435">
        <v>1.1000000000000001</v>
      </c>
      <c r="K435">
        <v>5773</v>
      </c>
      <c r="L435" s="2">
        <v>107000</v>
      </c>
      <c r="M435" s="2">
        <v>2970000</v>
      </c>
      <c r="N435">
        <v>41</v>
      </c>
      <c r="O435">
        <v>3.1</v>
      </c>
      <c r="P435" t="s">
        <v>17</v>
      </c>
      <c r="Q435" t="s">
        <v>16</v>
      </c>
      <c r="R435" s="2">
        <f>Table4[[#This Row],[total_followers]]/(Table4[[#This Row],[total_time_streamed]] / 60)</f>
        <v>1112.0734453490386</v>
      </c>
      <c r="S435" t="str">
        <f>IF(Table4[[#This Row],[avg_games_per_stream]] &gt; 2, "Variety", "Focused")</f>
        <v>Focused</v>
      </c>
      <c r="T435" s="4">
        <f>Table4[[#This Row],[avg_viewers_per_stream]] / Table4[[#This Row],[total_followers]]</f>
        <v>2.3112149532710281E-2</v>
      </c>
    </row>
    <row r="436" spans="1:20">
      <c r="A436">
        <v>436</v>
      </c>
      <c r="B436" t="s">
        <v>617</v>
      </c>
      <c r="C436" t="s">
        <v>63</v>
      </c>
      <c r="D436" t="s">
        <v>39</v>
      </c>
      <c r="E436" t="s">
        <v>56</v>
      </c>
      <c r="F436" t="s">
        <v>40</v>
      </c>
      <c r="G436" s="3">
        <v>5.8</v>
      </c>
      <c r="H436">
        <v>1830</v>
      </c>
      <c r="I436">
        <v>8490</v>
      </c>
      <c r="J436">
        <v>1.4</v>
      </c>
      <c r="K436">
        <v>3229</v>
      </c>
      <c r="L436" s="2">
        <v>110000</v>
      </c>
      <c r="M436" s="2">
        <v>507000</v>
      </c>
      <c r="N436">
        <v>16</v>
      </c>
      <c r="O436">
        <v>4.2</v>
      </c>
      <c r="P436" t="s">
        <v>18</v>
      </c>
      <c r="Q436" t="s">
        <v>15</v>
      </c>
      <c r="R436" s="2">
        <f>Table4[[#This Row],[total_followers]]/(Table4[[#This Row],[total_time_streamed]] / 60)</f>
        <v>2043.9764633013315</v>
      </c>
      <c r="S436" t="str">
        <f>IF(Table4[[#This Row],[avg_games_per_stream]] &gt; 2, "Variety", "Focused")</f>
        <v>Focused</v>
      </c>
      <c r="T436" s="4">
        <f>Table4[[#This Row],[avg_viewers_per_stream]] / Table4[[#This Row],[total_followers]]</f>
        <v>7.7181818181818185E-2</v>
      </c>
    </row>
    <row r="437" spans="1:20">
      <c r="A437">
        <v>437</v>
      </c>
      <c r="B437" t="s">
        <v>618</v>
      </c>
      <c r="C437" t="s">
        <v>6</v>
      </c>
      <c r="D437" t="s">
        <v>39</v>
      </c>
      <c r="E437" t="s">
        <v>54</v>
      </c>
      <c r="F437" t="s">
        <v>40</v>
      </c>
      <c r="G437" s="3">
        <v>8.5</v>
      </c>
      <c r="H437">
        <v>4460</v>
      </c>
      <c r="I437">
        <v>11288</v>
      </c>
      <c r="J437">
        <v>1.5</v>
      </c>
      <c r="K437">
        <v>11605</v>
      </c>
      <c r="L437" s="2">
        <v>702000</v>
      </c>
      <c r="M437" s="2">
        <v>17800000</v>
      </c>
      <c r="N437">
        <v>150</v>
      </c>
      <c r="O437">
        <v>4.8</v>
      </c>
      <c r="P437" t="s">
        <v>16</v>
      </c>
      <c r="Q437" t="s">
        <v>14</v>
      </c>
      <c r="R437" s="2">
        <f>Table4[[#This Row],[total_followers]]/(Table4[[#This Row],[total_time_streamed]] / 60)</f>
        <v>3629.4700560103406</v>
      </c>
      <c r="S437" t="str">
        <f>IF(Table4[[#This Row],[avg_games_per_stream]] &gt; 2, "Variety", "Focused")</f>
        <v>Focused</v>
      </c>
      <c r="T437" s="4">
        <f>Table4[[#This Row],[avg_viewers_per_stream]] / Table4[[#This Row],[total_followers]]</f>
        <v>1.607977207977208E-2</v>
      </c>
    </row>
    <row r="438" spans="1:20">
      <c r="A438">
        <v>438</v>
      </c>
      <c r="B438" t="s">
        <v>619</v>
      </c>
      <c r="C438" t="s">
        <v>5</v>
      </c>
      <c r="D438" t="s">
        <v>39</v>
      </c>
      <c r="E438" t="s">
        <v>441</v>
      </c>
      <c r="F438" t="s">
        <v>96</v>
      </c>
      <c r="G438" s="3">
        <v>4.5</v>
      </c>
      <c r="H438">
        <v>3110</v>
      </c>
      <c r="I438">
        <v>13147</v>
      </c>
      <c r="J438">
        <v>1.1000000000000001</v>
      </c>
      <c r="K438">
        <v>4523</v>
      </c>
      <c r="L438" s="2">
        <v>421000</v>
      </c>
      <c r="M438" s="2">
        <v>18200000</v>
      </c>
      <c r="N438">
        <v>51</v>
      </c>
      <c r="O438">
        <v>2.6</v>
      </c>
      <c r="P438" t="s">
        <v>20</v>
      </c>
      <c r="Q438" t="s">
        <v>14</v>
      </c>
      <c r="R438" s="2">
        <f>Table4[[#This Row],[total_followers]]/(Table4[[#This Row],[total_time_streamed]] / 60)</f>
        <v>5584.7888569533488</v>
      </c>
      <c r="S438" t="str">
        <f>IF(Table4[[#This Row],[avg_games_per_stream]] &gt; 2, "Variety", "Focused")</f>
        <v>Focused</v>
      </c>
      <c r="T438" s="4">
        <f>Table4[[#This Row],[avg_viewers_per_stream]] / Table4[[#This Row],[total_followers]]</f>
        <v>3.1228028503562946E-2</v>
      </c>
    </row>
    <row r="439" spans="1:20">
      <c r="A439">
        <v>439</v>
      </c>
      <c r="B439" t="s">
        <v>620</v>
      </c>
      <c r="C439" t="s">
        <v>6</v>
      </c>
      <c r="D439" t="s">
        <v>39</v>
      </c>
      <c r="E439" t="s">
        <v>157</v>
      </c>
      <c r="F439" t="s">
        <v>621</v>
      </c>
      <c r="G439" s="3">
        <v>5</v>
      </c>
      <c r="H439">
        <v>6550</v>
      </c>
      <c r="I439">
        <v>10397</v>
      </c>
      <c r="J439">
        <v>1.3</v>
      </c>
      <c r="K439">
        <v>6279</v>
      </c>
      <c r="L439" s="2">
        <v>768000</v>
      </c>
      <c r="M439" s="2">
        <v>12200000</v>
      </c>
      <c r="N439">
        <v>37</v>
      </c>
      <c r="O439">
        <v>3.5</v>
      </c>
      <c r="P439" t="s">
        <v>16</v>
      </c>
      <c r="Q439" t="s">
        <v>15</v>
      </c>
      <c r="R439" s="2">
        <f>Table4[[#This Row],[total_followers]]/(Table4[[#This Row],[total_time_streamed]] / 60)</f>
        <v>7338.7482083134255</v>
      </c>
      <c r="S439" t="str">
        <f>IF(Table4[[#This Row],[avg_games_per_stream]] &gt; 2, "Variety", "Focused")</f>
        <v>Focused</v>
      </c>
      <c r="T439" s="4">
        <f>Table4[[#This Row],[avg_viewers_per_stream]] / Table4[[#This Row],[total_followers]]</f>
        <v>1.3537760416666666E-2</v>
      </c>
    </row>
    <row r="440" spans="1:20">
      <c r="A440">
        <v>440</v>
      </c>
      <c r="B440" t="s">
        <v>622</v>
      </c>
      <c r="C440" t="s">
        <v>4</v>
      </c>
      <c r="D440" t="s">
        <v>58</v>
      </c>
      <c r="E440" t="s">
        <v>54</v>
      </c>
      <c r="F440" t="s">
        <v>56</v>
      </c>
      <c r="G440" s="3">
        <v>6.2</v>
      </c>
      <c r="H440">
        <v>3560</v>
      </c>
      <c r="I440">
        <v>13956</v>
      </c>
      <c r="J440">
        <v>1</v>
      </c>
      <c r="K440">
        <v>3582</v>
      </c>
      <c r="L440" s="2">
        <v>209000</v>
      </c>
      <c r="M440" s="2">
        <v>8210000</v>
      </c>
      <c r="N440">
        <v>3</v>
      </c>
      <c r="O440">
        <v>1.9</v>
      </c>
      <c r="P440" t="s">
        <v>15</v>
      </c>
      <c r="Q440" t="s">
        <v>16</v>
      </c>
      <c r="R440" s="2">
        <f>Table4[[#This Row],[total_followers]]/(Table4[[#This Row],[total_time_streamed]] / 60)</f>
        <v>3500.8375209380233</v>
      </c>
      <c r="S440" t="str">
        <f>IF(Table4[[#This Row],[avg_games_per_stream]] &gt; 2, "Variety", "Focused")</f>
        <v>Focused</v>
      </c>
      <c r="T440" s="4">
        <f>Table4[[#This Row],[avg_viewers_per_stream]] / Table4[[#This Row],[total_followers]]</f>
        <v>6.6775119617224876E-2</v>
      </c>
    </row>
    <row r="441" spans="1:20">
      <c r="A441">
        <v>441</v>
      </c>
      <c r="B441" t="s">
        <v>623</v>
      </c>
      <c r="C441" t="s">
        <v>3</v>
      </c>
      <c r="D441" t="s">
        <v>39</v>
      </c>
      <c r="E441" t="s">
        <v>466</v>
      </c>
      <c r="F441" t="s">
        <v>109</v>
      </c>
      <c r="G441" s="3">
        <v>8</v>
      </c>
      <c r="H441">
        <v>2300</v>
      </c>
      <c r="I441">
        <v>11205</v>
      </c>
      <c r="J441">
        <v>1.3</v>
      </c>
      <c r="K441">
        <v>13025</v>
      </c>
      <c r="L441" s="2">
        <v>322000</v>
      </c>
      <c r="M441" s="2">
        <v>15700000</v>
      </c>
      <c r="N441">
        <v>58</v>
      </c>
      <c r="O441">
        <v>4.2</v>
      </c>
      <c r="P441" t="s">
        <v>15</v>
      </c>
      <c r="Q441" t="s">
        <v>18</v>
      </c>
      <c r="R441" s="2">
        <f>Table4[[#This Row],[total_followers]]/(Table4[[#This Row],[total_time_streamed]] / 60)</f>
        <v>1483.3013435700575</v>
      </c>
      <c r="S441" t="str">
        <f>IF(Table4[[#This Row],[avg_games_per_stream]] &gt; 2, "Variety", "Focused")</f>
        <v>Focused</v>
      </c>
      <c r="T441" s="4">
        <f>Table4[[#This Row],[avg_viewers_per_stream]] / Table4[[#This Row],[total_followers]]</f>
        <v>3.4798136645962735E-2</v>
      </c>
    </row>
    <row r="442" spans="1:20">
      <c r="A442">
        <v>442</v>
      </c>
      <c r="B442" t="s">
        <v>624</v>
      </c>
      <c r="C442" t="s">
        <v>4</v>
      </c>
      <c r="D442" t="s">
        <v>39</v>
      </c>
      <c r="E442" t="s">
        <v>66</v>
      </c>
      <c r="F442" t="s">
        <v>40</v>
      </c>
      <c r="G442" s="3">
        <v>4.9000000000000004</v>
      </c>
      <c r="H442">
        <v>4680</v>
      </c>
      <c r="I442">
        <v>10645</v>
      </c>
      <c r="J442">
        <v>1.9</v>
      </c>
      <c r="K442">
        <v>7891</v>
      </c>
      <c r="L442" s="2">
        <v>789000</v>
      </c>
      <c r="M442" s="2">
        <v>17900000</v>
      </c>
      <c r="N442">
        <v>168</v>
      </c>
      <c r="O442">
        <v>5.4</v>
      </c>
      <c r="P442" t="s">
        <v>16</v>
      </c>
      <c r="Q442" t="s">
        <v>17</v>
      </c>
      <c r="R442" s="2">
        <f>Table4[[#This Row],[total_followers]]/(Table4[[#This Row],[total_time_streamed]] / 60)</f>
        <v>5999.2396400963116</v>
      </c>
      <c r="S442" t="str">
        <f>IF(Table4[[#This Row],[avg_games_per_stream]] &gt; 2, "Variety", "Focused")</f>
        <v>Focused</v>
      </c>
      <c r="T442" s="4">
        <f>Table4[[#This Row],[avg_viewers_per_stream]] / Table4[[#This Row],[total_followers]]</f>
        <v>1.3491761723700887E-2</v>
      </c>
    </row>
    <row r="443" spans="1:20">
      <c r="A443">
        <v>443</v>
      </c>
      <c r="B443" t="s">
        <v>625</v>
      </c>
      <c r="C443" t="s">
        <v>5</v>
      </c>
      <c r="D443" t="s">
        <v>39</v>
      </c>
      <c r="E443" t="s">
        <v>46</v>
      </c>
      <c r="F443" t="s">
        <v>54</v>
      </c>
      <c r="G443" s="3">
        <v>5.6</v>
      </c>
      <c r="H443">
        <v>2220</v>
      </c>
      <c r="I443">
        <v>1158</v>
      </c>
      <c r="J443">
        <v>1.2</v>
      </c>
      <c r="K443">
        <v>4347</v>
      </c>
      <c r="L443" s="2">
        <v>198000</v>
      </c>
      <c r="M443" s="2">
        <v>1030000</v>
      </c>
      <c r="N443">
        <v>83</v>
      </c>
      <c r="O443">
        <v>2.9</v>
      </c>
      <c r="P443" t="s">
        <v>16</v>
      </c>
      <c r="Q443" t="s">
        <v>14</v>
      </c>
      <c r="R443" s="2">
        <f>Table4[[#This Row],[total_followers]]/(Table4[[#This Row],[total_time_streamed]] / 60)</f>
        <v>2732.9192546583849</v>
      </c>
      <c r="S443" t="str">
        <f>IF(Table4[[#This Row],[avg_games_per_stream]] &gt; 2, "Variety", "Focused")</f>
        <v>Focused</v>
      </c>
      <c r="T443" s="4">
        <f>Table4[[#This Row],[avg_viewers_per_stream]] / Table4[[#This Row],[total_followers]]</f>
        <v>5.8484848484848485E-3</v>
      </c>
    </row>
    <row r="444" spans="1:20">
      <c r="A444">
        <v>444</v>
      </c>
      <c r="B444" t="s">
        <v>626</v>
      </c>
      <c r="C444" t="s">
        <v>3</v>
      </c>
      <c r="D444" t="s">
        <v>39</v>
      </c>
      <c r="E444" t="s">
        <v>88</v>
      </c>
      <c r="F444" t="s">
        <v>271</v>
      </c>
      <c r="G444" s="3">
        <v>5.3</v>
      </c>
      <c r="H444">
        <v>7190</v>
      </c>
      <c r="I444">
        <v>10401</v>
      </c>
      <c r="J444">
        <v>1.1000000000000001</v>
      </c>
      <c r="K444">
        <v>5355</v>
      </c>
      <c r="L444" s="2">
        <v>722000</v>
      </c>
      <c r="M444" s="2">
        <v>10400000</v>
      </c>
      <c r="N444">
        <v>26</v>
      </c>
      <c r="O444">
        <v>3.3</v>
      </c>
      <c r="P444" t="s">
        <v>17</v>
      </c>
      <c r="Q444" t="s">
        <v>14</v>
      </c>
      <c r="R444" s="2">
        <f>Table4[[#This Row],[total_followers]]/(Table4[[#This Row],[total_time_streamed]] / 60)</f>
        <v>8089.6358543417364</v>
      </c>
      <c r="S444" t="str">
        <f>IF(Table4[[#This Row],[avg_games_per_stream]] &gt; 2, "Variety", "Focused")</f>
        <v>Focused</v>
      </c>
      <c r="T444" s="4">
        <f>Table4[[#This Row],[avg_viewers_per_stream]] / Table4[[#This Row],[total_followers]]</f>
        <v>1.4405817174515235E-2</v>
      </c>
    </row>
    <row r="445" spans="1:20">
      <c r="A445">
        <v>445</v>
      </c>
      <c r="B445" t="s">
        <v>627</v>
      </c>
      <c r="C445" t="s">
        <v>3</v>
      </c>
      <c r="D445" t="s">
        <v>39</v>
      </c>
      <c r="E445" t="s">
        <v>53</v>
      </c>
      <c r="F445" t="s">
        <v>628</v>
      </c>
      <c r="G445" s="3">
        <v>6.4</v>
      </c>
      <c r="H445">
        <v>1890</v>
      </c>
      <c r="I445">
        <v>10871</v>
      </c>
      <c r="J445">
        <v>1.1000000000000001</v>
      </c>
      <c r="K445">
        <v>15663</v>
      </c>
      <c r="L445" s="2">
        <v>583000</v>
      </c>
      <c r="M445" s="2">
        <v>36500000</v>
      </c>
      <c r="N445">
        <v>46</v>
      </c>
      <c r="O445">
        <v>6.2</v>
      </c>
      <c r="P445" t="s">
        <v>19</v>
      </c>
      <c r="Q445" t="s">
        <v>17</v>
      </c>
      <c r="R445" s="2">
        <f>Table4[[#This Row],[total_followers]]/(Table4[[#This Row],[total_time_streamed]] / 60)</f>
        <v>2233.2886420226009</v>
      </c>
      <c r="S445" t="str">
        <f>IF(Table4[[#This Row],[avg_games_per_stream]] &gt; 2, "Variety", "Focused")</f>
        <v>Focused</v>
      </c>
      <c r="T445" s="4">
        <f>Table4[[#This Row],[avg_viewers_per_stream]] / Table4[[#This Row],[total_followers]]</f>
        <v>1.8646655231560894E-2</v>
      </c>
    </row>
    <row r="446" spans="1:20">
      <c r="A446">
        <v>446</v>
      </c>
      <c r="B446" t="s">
        <v>629</v>
      </c>
      <c r="C446" t="s">
        <v>3</v>
      </c>
      <c r="D446" t="s">
        <v>39</v>
      </c>
      <c r="E446" t="s">
        <v>64</v>
      </c>
      <c r="F446" t="s">
        <v>56</v>
      </c>
      <c r="G446" s="3">
        <v>7</v>
      </c>
      <c r="H446">
        <v>2230</v>
      </c>
      <c r="I446">
        <v>5124</v>
      </c>
      <c r="J446">
        <v>1.1000000000000001</v>
      </c>
      <c r="K446">
        <v>7462</v>
      </c>
      <c r="L446" s="2">
        <v>264000</v>
      </c>
      <c r="M446" s="2">
        <v>6350000</v>
      </c>
      <c r="N446">
        <v>9</v>
      </c>
      <c r="O446">
        <v>3.2</v>
      </c>
      <c r="P446" t="s">
        <v>20</v>
      </c>
      <c r="Q446" t="s">
        <v>14</v>
      </c>
      <c r="R446" s="2">
        <f>Table4[[#This Row],[total_followers]]/(Table4[[#This Row],[total_time_streamed]] / 60)</f>
        <v>2122.7552934870009</v>
      </c>
      <c r="S446" t="str">
        <f>IF(Table4[[#This Row],[avg_games_per_stream]] &gt; 2, "Variety", "Focused")</f>
        <v>Focused</v>
      </c>
      <c r="T446" s="4">
        <f>Table4[[#This Row],[avg_viewers_per_stream]] / Table4[[#This Row],[total_followers]]</f>
        <v>1.9409090909090911E-2</v>
      </c>
    </row>
    <row r="447" spans="1:20">
      <c r="A447">
        <v>447</v>
      </c>
      <c r="B447" t="s">
        <v>630</v>
      </c>
      <c r="C447" t="s">
        <v>63</v>
      </c>
      <c r="D447" t="s">
        <v>39</v>
      </c>
      <c r="E447" t="s">
        <v>595</v>
      </c>
      <c r="G447" s="3">
        <v>6.3</v>
      </c>
      <c r="H447">
        <v>10</v>
      </c>
      <c r="I447">
        <v>0</v>
      </c>
      <c r="J447">
        <v>1</v>
      </c>
      <c r="K447">
        <v>130</v>
      </c>
      <c r="L447" s="2">
        <v>1</v>
      </c>
      <c r="M447" s="2">
        <v>0</v>
      </c>
      <c r="N447">
        <v>1</v>
      </c>
      <c r="O447">
        <v>0.5</v>
      </c>
      <c r="P447" t="s">
        <v>19</v>
      </c>
      <c r="Q447" t="s">
        <v>16</v>
      </c>
      <c r="R447" s="2">
        <f>Table4[[#This Row],[total_followers]]/(Table4[[#This Row],[total_time_streamed]] / 60)</f>
        <v>0.46153846153846156</v>
      </c>
      <c r="S447" t="str">
        <f>IF(Table4[[#This Row],[avg_games_per_stream]] &gt; 2, "Variety", "Focused")</f>
        <v>Focused</v>
      </c>
      <c r="T447" s="4">
        <f>Table4[[#This Row],[avg_viewers_per_stream]] / Table4[[#This Row],[total_followers]]</f>
        <v>0</v>
      </c>
    </row>
    <row r="448" spans="1:20">
      <c r="A448">
        <v>448</v>
      </c>
      <c r="B448" t="s">
        <v>631</v>
      </c>
      <c r="C448" t="s">
        <v>6</v>
      </c>
      <c r="D448" t="s">
        <v>39</v>
      </c>
      <c r="E448" t="s">
        <v>632</v>
      </c>
      <c r="F448" t="s">
        <v>85</v>
      </c>
      <c r="G448" s="3">
        <v>20.8</v>
      </c>
      <c r="H448">
        <v>980</v>
      </c>
      <c r="I448">
        <v>5205</v>
      </c>
      <c r="J448">
        <v>1.3</v>
      </c>
      <c r="K448">
        <v>30982</v>
      </c>
      <c r="L448" s="2">
        <v>133000</v>
      </c>
      <c r="M448" s="2">
        <v>7050000</v>
      </c>
      <c r="N448">
        <v>20</v>
      </c>
      <c r="O448">
        <v>6.4</v>
      </c>
      <c r="P448" t="s">
        <v>18</v>
      </c>
      <c r="Q448" t="s">
        <v>16</v>
      </c>
      <c r="R448" s="2">
        <f>Table4[[#This Row],[total_followers]]/(Table4[[#This Row],[total_time_streamed]] / 60)</f>
        <v>257.56891098056934</v>
      </c>
      <c r="S448" t="str">
        <f>IF(Table4[[#This Row],[avg_games_per_stream]] &gt; 2, "Variety", "Focused")</f>
        <v>Focused</v>
      </c>
      <c r="T448" s="4">
        <f>Table4[[#This Row],[avg_viewers_per_stream]] / Table4[[#This Row],[total_followers]]</f>
        <v>3.9135338345864662E-2</v>
      </c>
    </row>
    <row r="449" spans="1:20">
      <c r="A449">
        <v>449</v>
      </c>
      <c r="B449" t="s">
        <v>633</v>
      </c>
      <c r="C449" t="s">
        <v>3</v>
      </c>
      <c r="D449" t="s">
        <v>39</v>
      </c>
      <c r="E449" t="s">
        <v>189</v>
      </c>
      <c r="F449" t="s">
        <v>123</v>
      </c>
      <c r="G449" s="3">
        <v>6</v>
      </c>
      <c r="H449">
        <v>1943</v>
      </c>
      <c r="I449">
        <v>63122</v>
      </c>
      <c r="J449">
        <v>1.7</v>
      </c>
      <c r="K449">
        <v>9615</v>
      </c>
      <c r="L449" s="2">
        <v>2840000</v>
      </c>
      <c r="M449" s="2">
        <v>90300000</v>
      </c>
      <c r="N449">
        <v>271</v>
      </c>
      <c r="O449">
        <v>4.0999999999999996</v>
      </c>
      <c r="P449" t="s">
        <v>18</v>
      </c>
      <c r="Q449" t="s">
        <v>15</v>
      </c>
      <c r="R449" s="2">
        <f>Table4[[#This Row],[total_followers]]/(Table4[[#This Row],[total_time_streamed]] / 60)</f>
        <v>17722.308892355693</v>
      </c>
      <c r="S449" t="str">
        <f>IF(Table4[[#This Row],[avg_games_per_stream]] &gt; 2, "Variety", "Focused")</f>
        <v>Focused</v>
      </c>
      <c r="T449" s="4">
        <f>Table4[[#This Row],[avg_viewers_per_stream]] / Table4[[#This Row],[total_followers]]</f>
        <v>2.2226056338028169E-2</v>
      </c>
    </row>
    <row r="450" spans="1:20">
      <c r="A450">
        <v>450</v>
      </c>
      <c r="B450" t="s">
        <v>634</v>
      </c>
      <c r="C450" t="s">
        <v>3</v>
      </c>
      <c r="D450" t="s">
        <v>39</v>
      </c>
      <c r="E450" t="s">
        <v>79</v>
      </c>
      <c r="F450" t="s">
        <v>93</v>
      </c>
      <c r="G450" s="3">
        <v>5.0999999999999996</v>
      </c>
      <c r="H450">
        <v>2890</v>
      </c>
      <c r="I450">
        <v>4303</v>
      </c>
      <c r="J450">
        <v>1.1000000000000001</v>
      </c>
      <c r="K450">
        <v>6876</v>
      </c>
      <c r="L450" s="2">
        <v>364000</v>
      </c>
      <c r="M450" s="2">
        <v>5410000</v>
      </c>
      <c r="N450">
        <v>70</v>
      </c>
      <c r="O450">
        <v>3.7</v>
      </c>
      <c r="P450" t="s">
        <v>17</v>
      </c>
      <c r="Q450" t="s">
        <v>14</v>
      </c>
      <c r="R450" s="2">
        <f>Table4[[#This Row],[total_followers]]/(Table4[[#This Row],[total_time_streamed]] / 60)</f>
        <v>3176.2652705061082</v>
      </c>
      <c r="S450" t="str">
        <f>IF(Table4[[#This Row],[avg_games_per_stream]] &gt; 2, "Variety", "Focused")</f>
        <v>Focused</v>
      </c>
      <c r="T450" s="4">
        <f>Table4[[#This Row],[avg_viewers_per_stream]] / Table4[[#This Row],[total_followers]]</f>
        <v>1.1821428571428571E-2</v>
      </c>
    </row>
    <row r="451" spans="1:20">
      <c r="A451">
        <v>451</v>
      </c>
      <c r="B451" t="s">
        <v>635</v>
      </c>
      <c r="C451" t="s">
        <v>6</v>
      </c>
      <c r="D451" t="s">
        <v>39</v>
      </c>
      <c r="E451" t="s">
        <v>74</v>
      </c>
      <c r="F451" t="s">
        <v>40</v>
      </c>
      <c r="G451" s="3">
        <v>4.8</v>
      </c>
      <c r="H451">
        <v>4260</v>
      </c>
      <c r="I451">
        <v>6193</v>
      </c>
      <c r="J451">
        <v>1.4</v>
      </c>
      <c r="K451">
        <v>7323</v>
      </c>
      <c r="L451" s="2">
        <v>770000</v>
      </c>
      <c r="M451" s="2">
        <v>11200000</v>
      </c>
      <c r="N451">
        <v>69</v>
      </c>
      <c r="O451">
        <v>6</v>
      </c>
      <c r="P451" t="s">
        <v>18</v>
      </c>
      <c r="Q451" t="s">
        <v>14</v>
      </c>
      <c r="R451" s="2">
        <f>Table4[[#This Row],[total_followers]]/(Table4[[#This Row],[total_time_streamed]] / 60)</f>
        <v>6308.8897992625971</v>
      </c>
      <c r="S451" t="str">
        <f>IF(Table4[[#This Row],[avg_games_per_stream]] &gt; 2, "Variety", "Focused")</f>
        <v>Focused</v>
      </c>
      <c r="T451" s="4">
        <f>Table4[[#This Row],[avg_viewers_per_stream]] / Table4[[#This Row],[total_followers]]</f>
        <v>8.0428571428571433E-3</v>
      </c>
    </row>
    <row r="452" spans="1:20">
      <c r="A452">
        <v>452</v>
      </c>
      <c r="B452" t="s">
        <v>636</v>
      </c>
      <c r="C452" t="s">
        <v>61</v>
      </c>
      <c r="D452" t="s">
        <v>39</v>
      </c>
      <c r="E452" t="s">
        <v>40</v>
      </c>
      <c r="F452" t="s">
        <v>74</v>
      </c>
      <c r="G452" s="3">
        <v>6</v>
      </c>
      <c r="H452">
        <v>7440</v>
      </c>
      <c r="I452">
        <v>8389</v>
      </c>
      <c r="J452">
        <v>2.1</v>
      </c>
      <c r="K452">
        <v>7729</v>
      </c>
      <c r="L452" s="2">
        <v>1010000</v>
      </c>
      <c r="M452" s="2">
        <v>11300000</v>
      </c>
      <c r="N452">
        <v>97</v>
      </c>
      <c r="O452">
        <v>4.2</v>
      </c>
      <c r="P452" t="s">
        <v>16</v>
      </c>
      <c r="Q452" t="s">
        <v>14</v>
      </c>
      <c r="R452" s="2">
        <f>Table4[[#This Row],[total_followers]]/(Table4[[#This Row],[total_time_streamed]] / 60)</f>
        <v>7840.6003363953942</v>
      </c>
      <c r="S452" t="str">
        <f>IF(Table4[[#This Row],[avg_games_per_stream]] &gt; 2, "Variety", "Focused")</f>
        <v>Variety</v>
      </c>
      <c r="T452" s="4">
        <f>Table4[[#This Row],[avg_viewers_per_stream]] / Table4[[#This Row],[total_followers]]</f>
        <v>8.3059405940594053E-3</v>
      </c>
    </row>
    <row r="453" spans="1:20">
      <c r="A453">
        <v>453</v>
      </c>
      <c r="B453" t="s">
        <v>637</v>
      </c>
      <c r="C453" t="s">
        <v>3</v>
      </c>
      <c r="D453" t="s">
        <v>39</v>
      </c>
      <c r="E453" t="s">
        <v>638</v>
      </c>
      <c r="F453" t="s">
        <v>639</v>
      </c>
      <c r="G453" s="3">
        <v>1.5</v>
      </c>
      <c r="H453">
        <v>7330</v>
      </c>
      <c r="I453">
        <v>13143</v>
      </c>
      <c r="J453">
        <v>1</v>
      </c>
      <c r="K453">
        <v>4570</v>
      </c>
      <c r="L453" s="2">
        <v>239000</v>
      </c>
      <c r="M453" s="2">
        <v>4040000</v>
      </c>
      <c r="N453">
        <v>2</v>
      </c>
      <c r="O453">
        <v>0.9</v>
      </c>
      <c r="P453" t="s">
        <v>20</v>
      </c>
      <c r="Q453" t="s">
        <v>15</v>
      </c>
      <c r="R453" s="2">
        <f>Table4[[#This Row],[total_followers]]/(Table4[[#This Row],[total_time_streamed]] / 60)</f>
        <v>3137.8555798687089</v>
      </c>
      <c r="S453" t="str">
        <f>IF(Table4[[#This Row],[avg_games_per_stream]] &gt; 2, "Variety", "Focused")</f>
        <v>Focused</v>
      </c>
      <c r="T453" s="4">
        <f>Table4[[#This Row],[avg_viewers_per_stream]] / Table4[[#This Row],[total_followers]]</f>
        <v>5.4991631799163179E-2</v>
      </c>
    </row>
    <row r="454" spans="1:20">
      <c r="A454">
        <v>454</v>
      </c>
      <c r="B454" t="s">
        <v>640</v>
      </c>
      <c r="C454" t="s">
        <v>4</v>
      </c>
      <c r="D454" t="s">
        <v>39</v>
      </c>
      <c r="E454" t="s">
        <v>46</v>
      </c>
      <c r="F454" t="s">
        <v>121</v>
      </c>
      <c r="G454" s="3">
        <v>8.3000000000000007</v>
      </c>
      <c r="H454">
        <v>6460</v>
      </c>
      <c r="I454">
        <v>619</v>
      </c>
      <c r="J454">
        <v>1.6</v>
      </c>
      <c r="K454">
        <v>17782</v>
      </c>
      <c r="L454" s="2">
        <v>1260000</v>
      </c>
      <c r="M454" s="2">
        <v>120000000</v>
      </c>
      <c r="N454">
        <v>177</v>
      </c>
      <c r="O454">
        <v>5.4</v>
      </c>
      <c r="P454" t="s">
        <v>19</v>
      </c>
      <c r="Q454" t="s">
        <v>15</v>
      </c>
      <c r="R454" s="2">
        <f>Table4[[#This Row],[total_followers]]/(Table4[[#This Row],[total_time_streamed]] / 60)</f>
        <v>4251.4902710606229</v>
      </c>
      <c r="S454" t="str">
        <f>IF(Table4[[#This Row],[avg_games_per_stream]] &gt; 2, "Variety", "Focused")</f>
        <v>Focused</v>
      </c>
      <c r="T454" s="4">
        <f>Table4[[#This Row],[avg_viewers_per_stream]] / Table4[[#This Row],[total_followers]]</f>
        <v>4.9126984126984124E-4</v>
      </c>
    </row>
    <row r="455" spans="1:20">
      <c r="A455">
        <v>455</v>
      </c>
      <c r="B455" t="s">
        <v>641</v>
      </c>
      <c r="C455" t="s">
        <v>3</v>
      </c>
      <c r="D455" t="s">
        <v>39</v>
      </c>
      <c r="E455" t="s">
        <v>54</v>
      </c>
      <c r="F455" t="s">
        <v>79</v>
      </c>
      <c r="G455" s="3">
        <v>5.5</v>
      </c>
      <c r="H455">
        <v>1185</v>
      </c>
      <c r="I455">
        <v>31271</v>
      </c>
      <c r="J455">
        <v>1.4</v>
      </c>
      <c r="K455">
        <v>9004</v>
      </c>
      <c r="L455" s="2">
        <v>1880000</v>
      </c>
      <c r="M455" s="2">
        <v>49700000</v>
      </c>
      <c r="N455">
        <v>77</v>
      </c>
      <c r="O455">
        <v>4.2</v>
      </c>
      <c r="P455" t="s">
        <v>17</v>
      </c>
      <c r="Q455" t="s">
        <v>14</v>
      </c>
      <c r="R455" s="2">
        <f>Table4[[#This Row],[total_followers]]/(Table4[[#This Row],[total_time_streamed]] / 60)</f>
        <v>12527.765437583297</v>
      </c>
      <c r="S455" t="str">
        <f>IF(Table4[[#This Row],[avg_games_per_stream]] &gt; 2, "Variety", "Focused")</f>
        <v>Focused</v>
      </c>
      <c r="T455" s="4">
        <f>Table4[[#This Row],[avg_viewers_per_stream]] / Table4[[#This Row],[total_followers]]</f>
        <v>1.6633510638297874E-2</v>
      </c>
    </row>
    <row r="456" spans="1:20">
      <c r="A456">
        <v>456</v>
      </c>
      <c r="B456" t="s">
        <v>642</v>
      </c>
      <c r="C456" t="s">
        <v>61</v>
      </c>
      <c r="D456" t="s">
        <v>39</v>
      </c>
      <c r="E456" t="s">
        <v>40</v>
      </c>
      <c r="F456" t="s">
        <v>74</v>
      </c>
      <c r="G456" s="3">
        <v>5.7</v>
      </c>
      <c r="H456">
        <v>7960</v>
      </c>
      <c r="I456">
        <v>618</v>
      </c>
      <c r="J456">
        <v>2.2000000000000002</v>
      </c>
      <c r="K456">
        <v>6056</v>
      </c>
      <c r="L456" s="2">
        <v>879000</v>
      </c>
      <c r="M456" s="2">
        <v>6830000</v>
      </c>
      <c r="N456">
        <v>89</v>
      </c>
      <c r="O456">
        <v>4.9000000000000004</v>
      </c>
      <c r="P456" t="s">
        <v>20</v>
      </c>
      <c r="Q456" t="s">
        <v>14</v>
      </c>
      <c r="R456" s="2">
        <f>Table4[[#This Row],[total_followers]]/(Table4[[#This Row],[total_time_streamed]] / 60)</f>
        <v>8708.7186261558782</v>
      </c>
      <c r="S456" t="str">
        <f>IF(Table4[[#This Row],[avg_games_per_stream]] &gt; 2, "Variety", "Focused")</f>
        <v>Variety</v>
      </c>
      <c r="T456" s="4">
        <f>Table4[[#This Row],[avg_viewers_per_stream]] / Table4[[#This Row],[total_followers]]</f>
        <v>7.0307167235494883E-4</v>
      </c>
    </row>
    <row r="457" spans="1:20">
      <c r="A457">
        <v>457</v>
      </c>
      <c r="B457" t="s">
        <v>643</v>
      </c>
      <c r="C457" t="s">
        <v>5</v>
      </c>
      <c r="D457" t="s">
        <v>39</v>
      </c>
      <c r="E457" t="s">
        <v>70</v>
      </c>
      <c r="F457" t="s">
        <v>68</v>
      </c>
      <c r="G457" s="3">
        <v>7.3</v>
      </c>
      <c r="H457">
        <v>2320</v>
      </c>
      <c r="I457">
        <v>23312</v>
      </c>
      <c r="J457">
        <v>1.5</v>
      </c>
      <c r="K457">
        <v>16274</v>
      </c>
      <c r="L457" s="2">
        <v>616000</v>
      </c>
      <c r="M457" s="2">
        <v>61600000</v>
      </c>
      <c r="N457">
        <v>166</v>
      </c>
      <c r="O457">
        <v>5.7</v>
      </c>
      <c r="P457" t="s">
        <v>15</v>
      </c>
      <c r="Q457" t="s">
        <v>14</v>
      </c>
      <c r="R457" s="2">
        <f>Table4[[#This Row],[total_followers]]/(Table4[[#This Row],[total_time_streamed]] / 60)</f>
        <v>2271.1072876981689</v>
      </c>
      <c r="S457" t="str">
        <f>IF(Table4[[#This Row],[avg_games_per_stream]] &gt; 2, "Variety", "Focused")</f>
        <v>Focused</v>
      </c>
      <c r="T457" s="4">
        <f>Table4[[#This Row],[avg_viewers_per_stream]] / Table4[[#This Row],[total_followers]]</f>
        <v>3.7844155844155847E-2</v>
      </c>
    </row>
    <row r="458" spans="1:20">
      <c r="A458">
        <v>458</v>
      </c>
      <c r="B458" t="s">
        <v>644</v>
      </c>
      <c r="C458" t="s">
        <v>3</v>
      </c>
      <c r="D458" t="s">
        <v>39</v>
      </c>
      <c r="E458" t="s">
        <v>40</v>
      </c>
      <c r="F458" t="s">
        <v>150</v>
      </c>
      <c r="G458" s="3">
        <v>5</v>
      </c>
      <c r="H458">
        <v>2790</v>
      </c>
      <c r="I458">
        <v>6943</v>
      </c>
      <c r="J458">
        <v>3.1</v>
      </c>
      <c r="K458">
        <v>9092</v>
      </c>
      <c r="L458" s="2">
        <v>466000</v>
      </c>
      <c r="M458" s="2">
        <v>11600000</v>
      </c>
      <c r="N458">
        <v>541</v>
      </c>
      <c r="O458">
        <v>4.8</v>
      </c>
      <c r="P458" t="s">
        <v>19</v>
      </c>
      <c r="Q458" t="s">
        <v>20</v>
      </c>
      <c r="R458" s="2">
        <f>Table4[[#This Row],[total_followers]]/(Table4[[#This Row],[total_time_streamed]] / 60)</f>
        <v>3075.2309722833261</v>
      </c>
      <c r="S458" t="str">
        <f>IF(Table4[[#This Row],[avg_games_per_stream]] &gt; 2, "Variety", "Focused")</f>
        <v>Variety</v>
      </c>
      <c r="T458" s="4">
        <f>Table4[[#This Row],[avg_viewers_per_stream]] / Table4[[#This Row],[total_followers]]</f>
        <v>1.4899141630901287E-2</v>
      </c>
    </row>
    <row r="459" spans="1:20">
      <c r="A459">
        <v>459</v>
      </c>
      <c r="B459" t="s">
        <v>645</v>
      </c>
      <c r="C459" t="s">
        <v>3</v>
      </c>
      <c r="D459" t="s">
        <v>39</v>
      </c>
      <c r="E459" t="s">
        <v>40</v>
      </c>
      <c r="F459" t="s">
        <v>79</v>
      </c>
      <c r="G459" s="3">
        <v>6.9</v>
      </c>
      <c r="H459">
        <v>4230</v>
      </c>
      <c r="I459">
        <v>19352</v>
      </c>
      <c r="J459">
        <v>2.8</v>
      </c>
      <c r="K459">
        <v>1516</v>
      </c>
      <c r="L459" s="2">
        <v>1080000</v>
      </c>
      <c r="M459" s="2">
        <v>47300000</v>
      </c>
      <c r="N459">
        <v>793</v>
      </c>
      <c r="O459">
        <v>5.5</v>
      </c>
      <c r="P459" t="s">
        <v>17</v>
      </c>
      <c r="Q459" t="s">
        <v>15</v>
      </c>
      <c r="R459" s="2">
        <f>Table4[[#This Row],[total_followers]]/(Table4[[#This Row],[total_time_streamed]] / 60)</f>
        <v>42744.063324538263</v>
      </c>
      <c r="S459" t="str">
        <f>IF(Table4[[#This Row],[avg_games_per_stream]] &gt; 2, "Variety", "Focused")</f>
        <v>Variety</v>
      </c>
      <c r="T459" s="4">
        <f>Table4[[#This Row],[avg_viewers_per_stream]] / Table4[[#This Row],[total_followers]]</f>
        <v>1.7918518518518518E-2</v>
      </c>
    </row>
    <row r="460" spans="1:20">
      <c r="A460">
        <v>460</v>
      </c>
      <c r="B460" t="s">
        <v>646</v>
      </c>
      <c r="C460" t="s">
        <v>2</v>
      </c>
      <c r="D460" t="s">
        <v>39</v>
      </c>
      <c r="E460" t="s">
        <v>40</v>
      </c>
      <c r="F460" t="s">
        <v>371</v>
      </c>
      <c r="G460" s="3">
        <v>10.199999999999999</v>
      </c>
      <c r="H460">
        <v>1130</v>
      </c>
      <c r="I460">
        <v>1702</v>
      </c>
      <c r="J460">
        <v>1.9</v>
      </c>
      <c r="K460">
        <v>12163</v>
      </c>
      <c r="L460" s="2">
        <v>125000</v>
      </c>
      <c r="M460" s="2">
        <v>1880000</v>
      </c>
      <c r="N460">
        <v>136</v>
      </c>
      <c r="O460">
        <v>5.7</v>
      </c>
      <c r="P460" t="s">
        <v>15</v>
      </c>
      <c r="Q460" t="s">
        <v>14</v>
      </c>
      <c r="R460" s="2">
        <f>Table4[[#This Row],[total_followers]]/(Table4[[#This Row],[total_time_streamed]] / 60)</f>
        <v>616.62418811148564</v>
      </c>
      <c r="S460" t="str">
        <f>IF(Table4[[#This Row],[avg_games_per_stream]] &gt; 2, "Variety", "Focused")</f>
        <v>Focused</v>
      </c>
      <c r="T460" s="4">
        <f>Table4[[#This Row],[avg_viewers_per_stream]] / Table4[[#This Row],[total_followers]]</f>
        <v>1.3616E-2</v>
      </c>
    </row>
    <row r="461" spans="1:20">
      <c r="A461">
        <v>461</v>
      </c>
      <c r="B461" t="s">
        <v>647</v>
      </c>
      <c r="C461" t="s">
        <v>5</v>
      </c>
      <c r="D461" t="s">
        <v>39</v>
      </c>
      <c r="E461" t="s">
        <v>40</v>
      </c>
      <c r="F461" t="s">
        <v>54</v>
      </c>
      <c r="G461" s="3">
        <v>7.4</v>
      </c>
      <c r="H461">
        <v>1510</v>
      </c>
      <c r="I461">
        <v>596</v>
      </c>
      <c r="J461">
        <v>2</v>
      </c>
      <c r="K461">
        <v>7185</v>
      </c>
      <c r="L461" s="2">
        <v>171000</v>
      </c>
      <c r="M461" s="2">
        <v>6750000</v>
      </c>
      <c r="N461">
        <v>365</v>
      </c>
      <c r="O461">
        <v>3.4</v>
      </c>
      <c r="P461" t="s">
        <v>15</v>
      </c>
      <c r="Q461" t="s">
        <v>14</v>
      </c>
      <c r="R461" s="2">
        <f>Table4[[#This Row],[total_followers]]/(Table4[[#This Row],[total_time_streamed]] / 60)</f>
        <v>1427.9749478079332</v>
      </c>
      <c r="S461" t="str">
        <f>IF(Table4[[#This Row],[avg_games_per_stream]] &gt; 2, "Variety", "Focused")</f>
        <v>Focused</v>
      </c>
      <c r="T461" s="4">
        <f>Table4[[#This Row],[avg_viewers_per_stream]] / Table4[[#This Row],[total_followers]]</f>
        <v>3.4853801169590641E-3</v>
      </c>
    </row>
    <row r="462" spans="1:20">
      <c r="A462">
        <v>462</v>
      </c>
      <c r="B462" t="s">
        <v>648</v>
      </c>
      <c r="C462" t="s">
        <v>3</v>
      </c>
      <c r="D462" t="s">
        <v>39</v>
      </c>
      <c r="E462" t="s">
        <v>40</v>
      </c>
      <c r="F462" t="s">
        <v>88</v>
      </c>
      <c r="G462" s="3">
        <v>3.4</v>
      </c>
      <c r="H462">
        <v>2443</v>
      </c>
      <c r="I462">
        <v>53657</v>
      </c>
      <c r="J462">
        <v>1.6</v>
      </c>
      <c r="K462">
        <v>2611</v>
      </c>
      <c r="L462" s="2">
        <v>2009999</v>
      </c>
      <c r="M462" s="2">
        <v>39900000</v>
      </c>
      <c r="N462">
        <v>114</v>
      </c>
      <c r="O462">
        <v>2</v>
      </c>
      <c r="P462" t="s">
        <v>18</v>
      </c>
      <c r="Q462" t="s">
        <v>20</v>
      </c>
      <c r="R462" s="2">
        <f>Table4[[#This Row],[total_followers]]/(Table4[[#This Row],[total_time_streamed]] / 60)</f>
        <v>46189.176560704713</v>
      </c>
      <c r="S462" t="str">
        <f>IF(Table4[[#This Row],[avg_games_per_stream]] &gt; 2, "Variety", "Focused")</f>
        <v>Focused</v>
      </c>
      <c r="T462" s="4">
        <f>Table4[[#This Row],[avg_viewers_per_stream]] / Table4[[#This Row],[total_followers]]</f>
        <v>2.66950381567354E-2</v>
      </c>
    </row>
    <row r="463" spans="1:20">
      <c r="A463">
        <v>463</v>
      </c>
      <c r="B463" t="s">
        <v>649</v>
      </c>
      <c r="C463" t="s">
        <v>6</v>
      </c>
      <c r="D463" t="s">
        <v>39</v>
      </c>
      <c r="E463" t="s">
        <v>54</v>
      </c>
      <c r="F463" t="s">
        <v>650</v>
      </c>
      <c r="G463" s="3">
        <v>3.5</v>
      </c>
      <c r="H463">
        <v>3970</v>
      </c>
      <c r="I463">
        <v>1716</v>
      </c>
      <c r="J463">
        <v>1.1000000000000001</v>
      </c>
      <c r="K463">
        <v>3833</v>
      </c>
      <c r="L463" s="2">
        <v>402000</v>
      </c>
      <c r="M463" s="2">
        <v>1740000</v>
      </c>
      <c r="N463">
        <v>43</v>
      </c>
      <c r="O463">
        <v>3.1</v>
      </c>
      <c r="P463" t="s">
        <v>19</v>
      </c>
      <c r="Q463" t="s">
        <v>15</v>
      </c>
      <c r="R463" s="2">
        <f>Table4[[#This Row],[total_followers]]/(Table4[[#This Row],[total_time_streamed]] / 60)</f>
        <v>6292.7211061831467</v>
      </c>
      <c r="S463" t="str">
        <f>IF(Table4[[#This Row],[avg_games_per_stream]] &gt; 2, "Variety", "Focused")</f>
        <v>Focused</v>
      </c>
      <c r="T463" s="4">
        <f>Table4[[#This Row],[avg_viewers_per_stream]] / Table4[[#This Row],[total_followers]]</f>
        <v>4.2686567164179103E-3</v>
      </c>
    </row>
    <row r="464" spans="1:20">
      <c r="A464">
        <v>464</v>
      </c>
      <c r="B464" t="s">
        <v>651</v>
      </c>
      <c r="C464" t="s">
        <v>3</v>
      </c>
      <c r="D464" t="s">
        <v>39</v>
      </c>
      <c r="E464" t="s">
        <v>74</v>
      </c>
      <c r="F464" t="s">
        <v>68</v>
      </c>
      <c r="G464" s="3">
        <v>7</v>
      </c>
      <c r="H464">
        <v>3355</v>
      </c>
      <c r="I464">
        <v>114372</v>
      </c>
      <c r="J464">
        <v>1.3</v>
      </c>
      <c r="K464">
        <v>14376</v>
      </c>
      <c r="L464" s="2">
        <v>6720000</v>
      </c>
      <c r="M464" s="2">
        <v>223000000</v>
      </c>
      <c r="N464">
        <v>59</v>
      </c>
      <c r="O464">
        <v>5.3</v>
      </c>
      <c r="P464" t="s">
        <v>19</v>
      </c>
      <c r="Q464" t="s">
        <v>19</v>
      </c>
      <c r="R464" s="2">
        <f>Table4[[#This Row],[total_followers]]/(Table4[[#This Row],[total_time_streamed]] / 60)</f>
        <v>28046.744574290486</v>
      </c>
      <c r="S464" t="str">
        <f>IF(Table4[[#This Row],[avg_games_per_stream]] &gt; 2, "Variety", "Focused")</f>
        <v>Focused</v>
      </c>
      <c r="T464" s="4">
        <f>Table4[[#This Row],[avg_viewers_per_stream]] / Table4[[#This Row],[total_followers]]</f>
        <v>1.7019642857142858E-2</v>
      </c>
    </row>
    <row r="465" spans="1:20">
      <c r="A465">
        <v>465</v>
      </c>
      <c r="B465" t="s">
        <v>652</v>
      </c>
      <c r="C465" t="s">
        <v>3</v>
      </c>
      <c r="D465" t="s">
        <v>58</v>
      </c>
      <c r="E465" t="s">
        <v>296</v>
      </c>
      <c r="F465" t="s">
        <v>653</v>
      </c>
      <c r="G465" s="3">
        <v>5.3</v>
      </c>
      <c r="H465">
        <v>7850</v>
      </c>
      <c r="I465">
        <v>81677</v>
      </c>
      <c r="J465">
        <v>1</v>
      </c>
      <c r="K465">
        <v>1972</v>
      </c>
      <c r="L465" s="2">
        <v>260000</v>
      </c>
      <c r="M465" s="2">
        <v>29000000</v>
      </c>
      <c r="N465">
        <v>6</v>
      </c>
      <c r="O465">
        <v>0.8</v>
      </c>
      <c r="P465" t="s">
        <v>15</v>
      </c>
      <c r="Q465" t="s">
        <v>14</v>
      </c>
      <c r="R465" s="2">
        <f>Table4[[#This Row],[total_followers]]/(Table4[[#This Row],[total_time_streamed]] / 60)</f>
        <v>7910.7505070993911</v>
      </c>
      <c r="S465" t="str">
        <f>IF(Table4[[#This Row],[avg_games_per_stream]] &gt; 2, "Variety", "Focused")</f>
        <v>Focused</v>
      </c>
      <c r="T465" s="4">
        <f>Table4[[#This Row],[avg_viewers_per_stream]] / Table4[[#This Row],[total_followers]]</f>
        <v>0.31414230769230767</v>
      </c>
    </row>
    <row r="466" spans="1:20">
      <c r="A466">
        <v>466</v>
      </c>
      <c r="B466" t="s">
        <v>654</v>
      </c>
      <c r="C466" t="s">
        <v>3</v>
      </c>
      <c r="D466" t="s">
        <v>39</v>
      </c>
      <c r="E466" t="s">
        <v>54</v>
      </c>
      <c r="F466" t="s">
        <v>56</v>
      </c>
      <c r="G466" s="3">
        <v>6.2</v>
      </c>
      <c r="H466">
        <v>1540</v>
      </c>
      <c r="I466">
        <v>2920</v>
      </c>
      <c r="J466">
        <v>1</v>
      </c>
      <c r="K466">
        <v>3582</v>
      </c>
      <c r="L466" s="2">
        <v>98100</v>
      </c>
      <c r="M466" s="2">
        <v>196000</v>
      </c>
      <c r="N466">
        <v>5</v>
      </c>
      <c r="O466">
        <v>1.7</v>
      </c>
      <c r="P466" t="s">
        <v>14</v>
      </c>
      <c r="Q466" t="s">
        <v>14</v>
      </c>
      <c r="R466" s="2">
        <f>Table4[[#This Row],[total_followers]]/(Table4[[#This Row],[total_time_streamed]] / 60)</f>
        <v>1643.21608040201</v>
      </c>
      <c r="S466" t="str">
        <f>IF(Table4[[#This Row],[avg_games_per_stream]] &gt; 2, "Variety", "Focused")</f>
        <v>Focused</v>
      </c>
      <c r="T466" s="4">
        <f>Table4[[#This Row],[avg_viewers_per_stream]] / Table4[[#This Row],[total_followers]]</f>
        <v>2.9765545361875638E-2</v>
      </c>
    </row>
    <row r="467" spans="1:20">
      <c r="A467">
        <v>467</v>
      </c>
      <c r="B467" t="s">
        <v>655</v>
      </c>
      <c r="C467" t="s">
        <v>3</v>
      </c>
      <c r="D467" t="s">
        <v>39</v>
      </c>
      <c r="E467" t="s">
        <v>53</v>
      </c>
      <c r="F467" t="s">
        <v>628</v>
      </c>
      <c r="G467" s="3">
        <v>7.4</v>
      </c>
      <c r="H467">
        <v>2350</v>
      </c>
      <c r="I467">
        <v>22839</v>
      </c>
      <c r="J467">
        <v>1</v>
      </c>
      <c r="K467">
        <v>10588</v>
      </c>
      <c r="L467" s="2">
        <v>348000</v>
      </c>
      <c r="M467" s="2">
        <v>33299999</v>
      </c>
      <c r="N467">
        <v>16</v>
      </c>
      <c r="O467">
        <v>3.6</v>
      </c>
      <c r="P467" t="s">
        <v>19</v>
      </c>
      <c r="Q467" t="s">
        <v>19</v>
      </c>
      <c r="R467" s="2">
        <f>Table4[[#This Row],[total_followers]]/(Table4[[#This Row],[total_time_streamed]] / 60)</f>
        <v>1972.0438231960709</v>
      </c>
      <c r="S467" t="str">
        <f>IF(Table4[[#This Row],[avg_games_per_stream]] &gt; 2, "Variety", "Focused")</f>
        <v>Focused</v>
      </c>
      <c r="T467" s="4">
        <f>Table4[[#This Row],[avg_viewers_per_stream]] / Table4[[#This Row],[total_followers]]</f>
        <v>6.5629310344827579E-2</v>
      </c>
    </row>
    <row r="468" spans="1:20">
      <c r="A468">
        <v>468</v>
      </c>
      <c r="B468" t="s">
        <v>656</v>
      </c>
      <c r="C468" t="s">
        <v>63</v>
      </c>
      <c r="D468" t="s">
        <v>39</v>
      </c>
      <c r="E468" t="s">
        <v>98</v>
      </c>
      <c r="G468" s="3">
        <v>13.5</v>
      </c>
      <c r="H468">
        <v>40</v>
      </c>
      <c r="I468">
        <v>0</v>
      </c>
      <c r="J468">
        <v>1</v>
      </c>
      <c r="K468">
        <v>400</v>
      </c>
      <c r="L468" s="2">
        <v>4</v>
      </c>
      <c r="M468" s="2">
        <v>0</v>
      </c>
      <c r="N468">
        <v>1</v>
      </c>
      <c r="O468">
        <v>1.1000000000000001</v>
      </c>
      <c r="P468" t="s">
        <v>19</v>
      </c>
      <c r="Q468" t="s">
        <v>20</v>
      </c>
      <c r="R468" s="2">
        <f>Table4[[#This Row],[total_followers]]/(Table4[[#This Row],[total_time_streamed]] / 60)</f>
        <v>0.6</v>
      </c>
      <c r="S468" t="str">
        <f>IF(Table4[[#This Row],[avg_games_per_stream]] &gt; 2, "Variety", "Focused")</f>
        <v>Focused</v>
      </c>
      <c r="T468" s="4">
        <f>Table4[[#This Row],[avg_viewers_per_stream]] / Table4[[#This Row],[total_followers]]</f>
        <v>0</v>
      </c>
    </row>
    <row r="469" spans="1:20">
      <c r="A469">
        <v>469</v>
      </c>
      <c r="B469" t="s">
        <v>657</v>
      </c>
      <c r="C469" t="s">
        <v>3</v>
      </c>
      <c r="D469" t="s">
        <v>39</v>
      </c>
      <c r="E469" t="s">
        <v>658</v>
      </c>
      <c r="G469" s="3">
        <v>4.3</v>
      </c>
      <c r="H469">
        <v>2432</v>
      </c>
      <c r="I469">
        <v>0</v>
      </c>
      <c r="J469">
        <v>1</v>
      </c>
      <c r="K469">
        <v>2220</v>
      </c>
      <c r="L469" s="2">
        <v>129000</v>
      </c>
      <c r="M469" s="2">
        <v>0</v>
      </c>
      <c r="N469">
        <v>1</v>
      </c>
      <c r="O469">
        <v>0.8</v>
      </c>
      <c r="P469" t="s">
        <v>14</v>
      </c>
      <c r="Q469" t="s">
        <v>15</v>
      </c>
      <c r="R469" s="2">
        <f>Table4[[#This Row],[total_followers]]/(Table4[[#This Row],[total_time_streamed]] / 60)</f>
        <v>3486.4864864864867</v>
      </c>
      <c r="S469" t="str">
        <f>IF(Table4[[#This Row],[avg_games_per_stream]] &gt; 2, "Variety", "Focused")</f>
        <v>Focused</v>
      </c>
      <c r="T469" s="4">
        <f>Table4[[#This Row],[avg_viewers_per_stream]] / Table4[[#This Row],[total_followers]]</f>
        <v>0</v>
      </c>
    </row>
    <row r="470" spans="1:20">
      <c r="A470">
        <v>470</v>
      </c>
      <c r="B470" t="s">
        <v>659</v>
      </c>
      <c r="C470" t="s">
        <v>6</v>
      </c>
      <c r="D470" t="s">
        <v>39</v>
      </c>
      <c r="E470" t="s">
        <v>46</v>
      </c>
      <c r="F470" t="s">
        <v>85</v>
      </c>
      <c r="G470" s="3">
        <v>7.6</v>
      </c>
      <c r="H470">
        <v>3560</v>
      </c>
      <c r="I470">
        <v>7335</v>
      </c>
      <c r="J470">
        <v>1.4</v>
      </c>
      <c r="K470">
        <v>8278</v>
      </c>
      <c r="L470" s="2">
        <v>452000</v>
      </c>
      <c r="M470" s="2">
        <v>9920000</v>
      </c>
      <c r="N470">
        <v>44</v>
      </c>
      <c r="O470">
        <v>2.8</v>
      </c>
      <c r="P470" t="s">
        <v>20</v>
      </c>
      <c r="Q470" t="s">
        <v>16</v>
      </c>
      <c r="R470" s="2">
        <f>Table4[[#This Row],[total_followers]]/(Table4[[#This Row],[total_time_streamed]] / 60)</f>
        <v>3276.1536603044215</v>
      </c>
      <c r="S470" t="str">
        <f>IF(Table4[[#This Row],[avg_games_per_stream]] &gt; 2, "Variety", "Focused")</f>
        <v>Focused</v>
      </c>
      <c r="T470" s="4">
        <f>Table4[[#This Row],[avg_viewers_per_stream]] / Table4[[#This Row],[total_followers]]</f>
        <v>1.6227876106194691E-2</v>
      </c>
    </row>
    <row r="471" spans="1:20">
      <c r="A471">
        <v>471</v>
      </c>
      <c r="B471" t="s">
        <v>660</v>
      </c>
      <c r="C471" t="s">
        <v>3</v>
      </c>
      <c r="D471" t="s">
        <v>39</v>
      </c>
      <c r="E471" t="s">
        <v>74</v>
      </c>
      <c r="F471" t="s">
        <v>54</v>
      </c>
      <c r="G471" s="3">
        <v>4.2</v>
      </c>
      <c r="H471">
        <v>719</v>
      </c>
      <c r="I471">
        <v>1018</v>
      </c>
      <c r="J471">
        <v>1.2</v>
      </c>
      <c r="K471">
        <v>3904</v>
      </c>
      <c r="L471" s="2">
        <v>6840000</v>
      </c>
      <c r="M471" s="2">
        <v>96900000</v>
      </c>
      <c r="N471">
        <v>72</v>
      </c>
      <c r="O471">
        <v>2.8</v>
      </c>
      <c r="P471" t="s">
        <v>18</v>
      </c>
      <c r="Q471" t="s">
        <v>15</v>
      </c>
      <c r="R471" s="2">
        <f>Table4[[#This Row],[total_followers]]/(Table4[[#This Row],[total_time_streamed]] / 60)</f>
        <v>105122.95081967214</v>
      </c>
      <c r="S471" t="str">
        <f>IF(Table4[[#This Row],[avg_games_per_stream]] &gt; 2, "Variety", "Focused")</f>
        <v>Focused</v>
      </c>
      <c r="T471" s="4">
        <f>Table4[[#This Row],[avg_viewers_per_stream]] / Table4[[#This Row],[total_followers]]</f>
        <v>1.4883040935672514E-4</v>
      </c>
    </row>
    <row r="472" spans="1:20">
      <c r="A472">
        <v>472</v>
      </c>
      <c r="B472" t="s">
        <v>661</v>
      </c>
      <c r="C472" t="s">
        <v>63</v>
      </c>
      <c r="D472" t="s">
        <v>39</v>
      </c>
      <c r="E472" t="s">
        <v>98</v>
      </c>
      <c r="F472" t="s">
        <v>595</v>
      </c>
      <c r="G472" s="3">
        <v>10.8</v>
      </c>
      <c r="H472">
        <v>60</v>
      </c>
      <c r="I472">
        <v>0</v>
      </c>
      <c r="J472">
        <v>1.5</v>
      </c>
      <c r="K472">
        <v>430</v>
      </c>
      <c r="L472" s="2">
        <v>12</v>
      </c>
      <c r="M472" s="2">
        <v>0</v>
      </c>
      <c r="N472">
        <v>2</v>
      </c>
      <c r="O472">
        <v>2</v>
      </c>
      <c r="P472" t="s">
        <v>16</v>
      </c>
      <c r="Q472" t="s">
        <v>17</v>
      </c>
      <c r="R472" s="2">
        <f>Table4[[#This Row],[total_followers]]/(Table4[[#This Row],[total_time_streamed]] / 60)</f>
        <v>1.6744186046511627</v>
      </c>
      <c r="S472" t="str">
        <f>IF(Table4[[#This Row],[avg_games_per_stream]] &gt; 2, "Variety", "Focused")</f>
        <v>Focused</v>
      </c>
      <c r="T472" s="4">
        <f>Table4[[#This Row],[avg_viewers_per_stream]] / Table4[[#This Row],[total_followers]]</f>
        <v>0</v>
      </c>
    </row>
    <row r="473" spans="1:20">
      <c r="A473">
        <v>473</v>
      </c>
      <c r="B473" t="s">
        <v>662</v>
      </c>
      <c r="C473" t="s">
        <v>3</v>
      </c>
      <c r="D473" t="s">
        <v>39</v>
      </c>
      <c r="E473" t="s">
        <v>40</v>
      </c>
      <c r="F473" t="s">
        <v>344</v>
      </c>
      <c r="G473" s="3">
        <v>4.8</v>
      </c>
      <c r="H473">
        <v>5980</v>
      </c>
      <c r="I473">
        <v>9060</v>
      </c>
      <c r="J473">
        <v>1.5</v>
      </c>
      <c r="K473">
        <v>2831</v>
      </c>
      <c r="L473" s="2">
        <v>346000</v>
      </c>
      <c r="M473" s="2">
        <v>524000</v>
      </c>
      <c r="N473">
        <v>39</v>
      </c>
      <c r="O473">
        <v>4</v>
      </c>
      <c r="P473" t="s">
        <v>15</v>
      </c>
      <c r="Q473" t="s">
        <v>15</v>
      </c>
      <c r="R473" s="2">
        <f>Table4[[#This Row],[total_followers]]/(Table4[[#This Row],[total_time_streamed]] / 60)</f>
        <v>7333.0978452843519</v>
      </c>
      <c r="S473" t="str">
        <f>IF(Table4[[#This Row],[avg_games_per_stream]] &gt; 2, "Variety", "Focused")</f>
        <v>Focused</v>
      </c>
      <c r="T473" s="4">
        <f>Table4[[#This Row],[avg_viewers_per_stream]] / Table4[[#This Row],[total_followers]]</f>
        <v>2.6184971098265897E-2</v>
      </c>
    </row>
    <row r="474" spans="1:20">
      <c r="A474">
        <v>474</v>
      </c>
      <c r="B474" t="s">
        <v>663</v>
      </c>
      <c r="C474" t="s">
        <v>3</v>
      </c>
      <c r="D474" t="s">
        <v>58</v>
      </c>
      <c r="E474" t="s">
        <v>70</v>
      </c>
      <c r="F474" t="s">
        <v>664</v>
      </c>
      <c r="G474" s="3">
        <v>5.6</v>
      </c>
      <c r="H474">
        <v>1361</v>
      </c>
      <c r="I474">
        <v>126506</v>
      </c>
      <c r="J474">
        <v>1</v>
      </c>
      <c r="K474">
        <v>392</v>
      </c>
      <c r="L474" s="2">
        <v>1130000</v>
      </c>
      <c r="M474" s="2">
        <v>103000000</v>
      </c>
      <c r="N474">
        <v>2</v>
      </c>
      <c r="O474">
        <v>1.7</v>
      </c>
      <c r="P474" t="s">
        <v>15</v>
      </c>
      <c r="Q474" t="s">
        <v>19</v>
      </c>
      <c r="R474" s="2">
        <f>Table4[[#This Row],[total_followers]]/(Table4[[#This Row],[total_time_streamed]] / 60)</f>
        <v>172959.18367346938</v>
      </c>
      <c r="S474" t="str">
        <f>IF(Table4[[#This Row],[avg_games_per_stream]] &gt; 2, "Variety", "Focused")</f>
        <v>Focused</v>
      </c>
      <c r="T474" s="4">
        <f>Table4[[#This Row],[avg_viewers_per_stream]] / Table4[[#This Row],[total_followers]]</f>
        <v>0.11195221238938054</v>
      </c>
    </row>
    <row r="475" spans="1:20">
      <c r="A475">
        <v>475</v>
      </c>
      <c r="B475" t="s">
        <v>665</v>
      </c>
      <c r="C475" t="s">
        <v>7</v>
      </c>
      <c r="D475" t="s">
        <v>39</v>
      </c>
      <c r="E475" t="s">
        <v>104</v>
      </c>
      <c r="F475" t="s">
        <v>40</v>
      </c>
      <c r="G475" s="3">
        <v>3.8</v>
      </c>
      <c r="H475">
        <v>2250</v>
      </c>
      <c r="I475">
        <v>7771</v>
      </c>
      <c r="J475">
        <v>1.2</v>
      </c>
      <c r="K475">
        <v>2756</v>
      </c>
      <c r="L475" s="2">
        <v>177000</v>
      </c>
      <c r="M475" s="2">
        <v>6090000</v>
      </c>
      <c r="N475">
        <v>18</v>
      </c>
      <c r="O475">
        <v>4.0999999999999996</v>
      </c>
      <c r="P475" t="s">
        <v>16</v>
      </c>
      <c r="Q475" t="s">
        <v>17</v>
      </c>
      <c r="R475" s="2">
        <f>Table4[[#This Row],[total_followers]]/(Table4[[#This Row],[total_time_streamed]] / 60)</f>
        <v>3853.4107402031932</v>
      </c>
      <c r="S475" t="str">
        <f>IF(Table4[[#This Row],[avg_games_per_stream]] &gt; 2, "Variety", "Focused")</f>
        <v>Focused</v>
      </c>
      <c r="T475" s="4">
        <f>Table4[[#This Row],[avg_viewers_per_stream]] / Table4[[#This Row],[total_followers]]</f>
        <v>4.3903954802259886E-2</v>
      </c>
    </row>
    <row r="476" spans="1:20">
      <c r="A476">
        <v>476</v>
      </c>
      <c r="B476" t="s">
        <v>666</v>
      </c>
      <c r="C476" t="s">
        <v>667</v>
      </c>
      <c r="D476" t="s">
        <v>39</v>
      </c>
      <c r="E476" t="s">
        <v>66</v>
      </c>
      <c r="F476" t="s">
        <v>70</v>
      </c>
      <c r="G476" s="3">
        <v>7.1</v>
      </c>
      <c r="H476">
        <v>4610</v>
      </c>
      <c r="I476">
        <v>4605</v>
      </c>
      <c r="J476">
        <v>1.8</v>
      </c>
      <c r="K476">
        <v>6763</v>
      </c>
      <c r="L476" s="2">
        <v>490000</v>
      </c>
      <c r="M476" s="2">
        <v>5030000</v>
      </c>
      <c r="N476">
        <v>87</v>
      </c>
      <c r="O476">
        <v>2.6</v>
      </c>
      <c r="P476" t="s">
        <v>17</v>
      </c>
      <c r="Q476" t="s">
        <v>17</v>
      </c>
      <c r="R476" s="2">
        <f>Table4[[#This Row],[total_followers]]/(Table4[[#This Row],[total_time_streamed]] / 60)</f>
        <v>4347.1832027206856</v>
      </c>
      <c r="S476" t="str">
        <f>IF(Table4[[#This Row],[avg_games_per_stream]] &gt; 2, "Variety", "Focused")</f>
        <v>Focused</v>
      </c>
      <c r="T476" s="4">
        <f>Table4[[#This Row],[avg_viewers_per_stream]] / Table4[[#This Row],[total_followers]]</f>
        <v>9.3979591836734697E-3</v>
      </c>
    </row>
    <row r="477" spans="1:20">
      <c r="A477">
        <v>477</v>
      </c>
      <c r="B477" t="s">
        <v>668</v>
      </c>
      <c r="C477" t="s">
        <v>3</v>
      </c>
      <c r="D477" t="s">
        <v>39</v>
      </c>
      <c r="E477" t="s">
        <v>411</v>
      </c>
      <c r="F477" t="s">
        <v>223</v>
      </c>
      <c r="G477" s="3">
        <v>5.6</v>
      </c>
      <c r="H477">
        <v>1350</v>
      </c>
      <c r="I477">
        <v>8904</v>
      </c>
      <c r="J477">
        <v>2</v>
      </c>
      <c r="K477">
        <v>13627</v>
      </c>
      <c r="L477" s="2">
        <v>342000</v>
      </c>
      <c r="M477" s="2">
        <v>21100000</v>
      </c>
      <c r="N477">
        <v>129</v>
      </c>
      <c r="O477">
        <v>6.2</v>
      </c>
      <c r="P477" t="s">
        <v>16</v>
      </c>
      <c r="Q477" t="s">
        <v>16</v>
      </c>
      <c r="R477" s="2">
        <f>Table4[[#This Row],[total_followers]]/(Table4[[#This Row],[total_time_streamed]] / 60)</f>
        <v>1505.8340060174653</v>
      </c>
      <c r="S477" t="str">
        <f>IF(Table4[[#This Row],[avg_games_per_stream]] &gt; 2, "Variety", "Focused")</f>
        <v>Focused</v>
      </c>
      <c r="T477" s="4">
        <f>Table4[[#This Row],[avg_viewers_per_stream]] / Table4[[#This Row],[total_followers]]</f>
        <v>2.6035087719298244E-2</v>
      </c>
    </row>
    <row r="478" spans="1:20">
      <c r="A478">
        <v>478</v>
      </c>
      <c r="B478" t="s">
        <v>669</v>
      </c>
      <c r="C478" t="s">
        <v>3</v>
      </c>
      <c r="D478" t="s">
        <v>39</v>
      </c>
      <c r="E478" t="s">
        <v>54</v>
      </c>
      <c r="F478" t="s">
        <v>56</v>
      </c>
      <c r="G478" s="3">
        <v>3.4</v>
      </c>
      <c r="H478">
        <v>7590</v>
      </c>
      <c r="I478">
        <v>4036</v>
      </c>
      <c r="J478">
        <v>1.2</v>
      </c>
      <c r="K478">
        <v>2921</v>
      </c>
      <c r="L478" s="2">
        <v>643000</v>
      </c>
      <c r="M478" s="2">
        <v>3720000</v>
      </c>
      <c r="N478">
        <v>27</v>
      </c>
      <c r="O478">
        <v>2.5</v>
      </c>
      <c r="P478" t="s">
        <v>18</v>
      </c>
      <c r="Q478" t="s">
        <v>16</v>
      </c>
      <c r="R478" s="2">
        <f>Table4[[#This Row],[total_followers]]/(Table4[[#This Row],[total_time_streamed]] / 60)</f>
        <v>13207.805546045876</v>
      </c>
      <c r="S478" t="str">
        <f>IF(Table4[[#This Row],[avg_games_per_stream]] &gt; 2, "Variety", "Focused")</f>
        <v>Focused</v>
      </c>
      <c r="T478" s="4">
        <f>Table4[[#This Row],[avg_viewers_per_stream]] / Table4[[#This Row],[total_followers]]</f>
        <v>6.2768273716951786E-3</v>
      </c>
    </row>
    <row r="479" spans="1:20">
      <c r="A479">
        <v>479</v>
      </c>
      <c r="B479" t="s">
        <v>670</v>
      </c>
      <c r="C479" t="s">
        <v>63</v>
      </c>
      <c r="D479" t="s">
        <v>39</v>
      </c>
      <c r="E479" t="s">
        <v>51</v>
      </c>
      <c r="F479" t="s">
        <v>40</v>
      </c>
      <c r="G479" s="3">
        <v>7.7</v>
      </c>
      <c r="H479">
        <v>1460</v>
      </c>
      <c r="I479">
        <v>31471</v>
      </c>
      <c r="J479">
        <v>2.2000000000000002</v>
      </c>
      <c r="K479">
        <v>16421</v>
      </c>
      <c r="L479" s="2">
        <v>428000</v>
      </c>
      <c r="M479" s="2">
        <v>80600000</v>
      </c>
      <c r="N479">
        <v>962</v>
      </c>
      <c r="O479">
        <v>5.4</v>
      </c>
      <c r="P479" t="s">
        <v>14</v>
      </c>
      <c r="Q479" t="s">
        <v>14</v>
      </c>
      <c r="R479" s="2">
        <f>Table4[[#This Row],[total_followers]]/(Table4[[#This Row],[total_time_streamed]] / 60)</f>
        <v>1563.8511661896353</v>
      </c>
      <c r="S479" t="str">
        <f>IF(Table4[[#This Row],[avg_games_per_stream]] &gt; 2, "Variety", "Focused")</f>
        <v>Variety</v>
      </c>
      <c r="T479" s="4">
        <f>Table4[[#This Row],[avg_viewers_per_stream]] / Table4[[#This Row],[total_followers]]</f>
        <v>7.35303738317757E-2</v>
      </c>
    </row>
    <row r="480" spans="1:20">
      <c r="A480">
        <v>480</v>
      </c>
      <c r="B480" t="s">
        <v>671</v>
      </c>
      <c r="C480" t="s">
        <v>4</v>
      </c>
      <c r="D480" t="s">
        <v>39</v>
      </c>
      <c r="E480" t="s">
        <v>40</v>
      </c>
      <c r="F480" t="s">
        <v>121</v>
      </c>
      <c r="G480" s="3">
        <v>3.5</v>
      </c>
      <c r="H480">
        <v>9310</v>
      </c>
      <c r="I480">
        <v>120</v>
      </c>
      <c r="J480">
        <v>2</v>
      </c>
      <c r="K480">
        <v>1685</v>
      </c>
      <c r="L480" s="2">
        <v>468000</v>
      </c>
      <c r="M480" s="2">
        <v>6100</v>
      </c>
      <c r="N480">
        <v>166</v>
      </c>
      <c r="O480">
        <v>2.2999999999999998</v>
      </c>
      <c r="P480" t="s">
        <v>17</v>
      </c>
      <c r="Q480" t="s">
        <v>17</v>
      </c>
      <c r="R480" s="2">
        <f>Table4[[#This Row],[total_followers]]/(Table4[[#This Row],[total_time_streamed]] / 60)</f>
        <v>16664.688427299705</v>
      </c>
      <c r="S480" t="str">
        <f>IF(Table4[[#This Row],[avg_games_per_stream]] &gt; 2, "Variety", "Focused")</f>
        <v>Focused</v>
      </c>
      <c r="T480" s="4">
        <f>Table4[[#This Row],[avg_viewers_per_stream]] / Table4[[#This Row],[total_followers]]</f>
        <v>2.5641025641025641E-4</v>
      </c>
    </row>
    <row r="481" spans="1:20">
      <c r="A481">
        <v>481</v>
      </c>
      <c r="B481" t="s">
        <v>672</v>
      </c>
      <c r="C481" t="s">
        <v>3</v>
      </c>
      <c r="D481" t="s">
        <v>39</v>
      </c>
      <c r="E481" t="s">
        <v>40</v>
      </c>
      <c r="F481" t="s">
        <v>53</v>
      </c>
      <c r="G481" s="3">
        <v>5</v>
      </c>
      <c r="H481">
        <v>1119</v>
      </c>
      <c r="I481">
        <v>3322</v>
      </c>
      <c r="J481">
        <v>1.7</v>
      </c>
      <c r="K481">
        <v>6127</v>
      </c>
      <c r="L481" s="2">
        <v>1360000</v>
      </c>
      <c r="M481" s="2">
        <v>4110000</v>
      </c>
      <c r="N481">
        <v>175</v>
      </c>
      <c r="O481">
        <v>3.1</v>
      </c>
      <c r="P481" t="s">
        <v>18</v>
      </c>
      <c r="Q481" t="s">
        <v>14</v>
      </c>
      <c r="R481" s="2">
        <f>Table4[[#This Row],[total_followers]]/(Table4[[#This Row],[total_time_streamed]] / 60)</f>
        <v>13318.100212175617</v>
      </c>
      <c r="S481" t="str">
        <f>IF(Table4[[#This Row],[avg_games_per_stream]] &gt; 2, "Variety", "Focused")</f>
        <v>Focused</v>
      </c>
      <c r="T481" s="4">
        <f>Table4[[#This Row],[avg_viewers_per_stream]] / Table4[[#This Row],[total_followers]]</f>
        <v>2.4426470588235294E-3</v>
      </c>
    </row>
    <row r="482" spans="1:20">
      <c r="A482">
        <v>482</v>
      </c>
      <c r="B482" t="s">
        <v>673</v>
      </c>
      <c r="C482" t="s">
        <v>3</v>
      </c>
      <c r="D482" t="s">
        <v>39</v>
      </c>
      <c r="E482" t="s">
        <v>40</v>
      </c>
      <c r="F482" t="s">
        <v>441</v>
      </c>
      <c r="G482" s="3">
        <v>3.2</v>
      </c>
      <c r="H482">
        <v>950</v>
      </c>
      <c r="I482">
        <v>2053</v>
      </c>
      <c r="J482">
        <v>1.6</v>
      </c>
      <c r="K482">
        <v>5484</v>
      </c>
      <c r="L482" s="2">
        <v>155000</v>
      </c>
      <c r="M482" s="2">
        <v>3300000</v>
      </c>
      <c r="N482">
        <v>129</v>
      </c>
      <c r="O482">
        <v>4.3</v>
      </c>
      <c r="P482" t="s">
        <v>19</v>
      </c>
      <c r="Q482" t="s">
        <v>18</v>
      </c>
      <c r="R482" s="2">
        <f>Table4[[#This Row],[total_followers]]/(Table4[[#This Row],[total_time_streamed]] / 60)</f>
        <v>1695.8424507658642</v>
      </c>
      <c r="S482" t="str">
        <f>IF(Table4[[#This Row],[avg_games_per_stream]] &gt; 2, "Variety", "Focused")</f>
        <v>Focused</v>
      </c>
      <c r="T482" s="4">
        <f>Table4[[#This Row],[avg_viewers_per_stream]] / Table4[[#This Row],[total_followers]]</f>
        <v>1.324516129032258E-2</v>
      </c>
    </row>
    <row r="483" spans="1:20">
      <c r="A483">
        <v>483</v>
      </c>
      <c r="B483" t="s">
        <v>674</v>
      </c>
      <c r="C483" t="s">
        <v>61</v>
      </c>
      <c r="D483" t="s">
        <v>39</v>
      </c>
      <c r="E483" t="s">
        <v>40</v>
      </c>
      <c r="F483" t="s">
        <v>46</v>
      </c>
      <c r="G483" s="3">
        <v>5.8</v>
      </c>
      <c r="H483">
        <v>9830</v>
      </c>
      <c r="I483">
        <v>9032</v>
      </c>
      <c r="J483">
        <v>2.2999999999999998</v>
      </c>
      <c r="K483">
        <v>6272</v>
      </c>
      <c r="L483" s="2">
        <v>965000</v>
      </c>
      <c r="M483" s="2">
        <v>8860000</v>
      </c>
      <c r="N483">
        <v>90</v>
      </c>
      <c r="O483">
        <v>3.8</v>
      </c>
      <c r="P483" t="s">
        <v>15</v>
      </c>
      <c r="Q483" t="s">
        <v>15</v>
      </c>
      <c r="R483" s="2">
        <f>Table4[[#This Row],[total_followers]]/(Table4[[#This Row],[total_time_streamed]] / 60)</f>
        <v>9231.5051020408173</v>
      </c>
      <c r="S483" t="str">
        <f>IF(Table4[[#This Row],[avg_games_per_stream]] &gt; 2, "Variety", "Focused")</f>
        <v>Variety</v>
      </c>
      <c r="T483" s="4">
        <f>Table4[[#This Row],[avg_viewers_per_stream]] / Table4[[#This Row],[total_followers]]</f>
        <v>9.359585492227979E-3</v>
      </c>
    </row>
    <row r="484" spans="1:20">
      <c r="A484">
        <v>484</v>
      </c>
      <c r="B484" t="s">
        <v>675</v>
      </c>
      <c r="C484" t="s">
        <v>4</v>
      </c>
      <c r="D484" t="s">
        <v>39</v>
      </c>
      <c r="E484" t="s">
        <v>66</v>
      </c>
      <c r="F484" t="s">
        <v>40</v>
      </c>
      <c r="G484" s="3">
        <v>5.3</v>
      </c>
      <c r="H484">
        <v>2420</v>
      </c>
      <c r="I484">
        <v>45</v>
      </c>
      <c r="J484">
        <v>1.9</v>
      </c>
      <c r="K484">
        <v>8744</v>
      </c>
      <c r="L484" s="2">
        <v>364000</v>
      </c>
      <c r="M484" s="2">
        <v>6770000</v>
      </c>
      <c r="N484">
        <v>159</v>
      </c>
      <c r="O484">
        <v>5.5</v>
      </c>
      <c r="P484" t="s">
        <v>20</v>
      </c>
      <c r="Q484" t="s">
        <v>20</v>
      </c>
      <c r="R484" s="2">
        <f>Table4[[#This Row],[total_followers]]/(Table4[[#This Row],[total_time_streamed]] / 60)</f>
        <v>2497.7127172918576</v>
      </c>
      <c r="S484" t="str">
        <f>IF(Table4[[#This Row],[avg_games_per_stream]] &gt; 2, "Variety", "Focused")</f>
        <v>Focused</v>
      </c>
      <c r="T484" s="4">
        <f>Table4[[#This Row],[avg_viewers_per_stream]] / Table4[[#This Row],[total_followers]]</f>
        <v>1.2362637362637363E-4</v>
      </c>
    </row>
    <row r="485" spans="1:20">
      <c r="A485">
        <v>485</v>
      </c>
      <c r="B485" t="s">
        <v>676</v>
      </c>
      <c r="C485" t="s">
        <v>5</v>
      </c>
      <c r="D485" t="s">
        <v>39</v>
      </c>
      <c r="E485" t="s">
        <v>46</v>
      </c>
      <c r="F485" t="s">
        <v>12</v>
      </c>
      <c r="G485" s="3">
        <v>7</v>
      </c>
      <c r="H485">
        <v>1080</v>
      </c>
      <c r="I485">
        <v>4895</v>
      </c>
      <c r="J485">
        <v>1.2</v>
      </c>
      <c r="K485">
        <v>8877</v>
      </c>
      <c r="L485" s="2">
        <v>147000</v>
      </c>
      <c r="M485" s="2">
        <v>6910000</v>
      </c>
      <c r="N485">
        <v>83</v>
      </c>
      <c r="O485">
        <v>3.2</v>
      </c>
      <c r="P485" t="s">
        <v>18</v>
      </c>
      <c r="Q485" t="s">
        <v>14</v>
      </c>
      <c r="R485" s="2">
        <f>Table4[[#This Row],[total_followers]]/(Table4[[#This Row],[total_time_streamed]] / 60)</f>
        <v>993.5789117945252</v>
      </c>
      <c r="S485" t="str">
        <f>IF(Table4[[#This Row],[avg_games_per_stream]] &gt; 2, "Variety", "Focused")</f>
        <v>Focused</v>
      </c>
      <c r="T485" s="4">
        <f>Table4[[#This Row],[avg_viewers_per_stream]] / Table4[[#This Row],[total_followers]]</f>
        <v>3.3299319727891158E-2</v>
      </c>
    </row>
    <row r="486" spans="1:20">
      <c r="A486">
        <v>486</v>
      </c>
      <c r="B486" t="s">
        <v>677</v>
      </c>
      <c r="C486" t="s">
        <v>63</v>
      </c>
      <c r="D486" t="s">
        <v>39</v>
      </c>
      <c r="E486" t="s">
        <v>40</v>
      </c>
      <c r="F486" t="s">
        <v>463</v>
      </c>
      <c r="G486" s="3">
        <v>2.6</v>
      </c>
      <c r="H486">
        <v>6090</v>
      </c>
      <c r="I486">
        <v>418</v>
      </c>
      <c r="J486">
        <v>1.8</v>
      </c>
      <c r="K486">
        <v>1978</v>
      </c>
      <c r="L486" s="2">
        <v>461000</v>
      </c>
      <c r="M486" s="2">
        <v>3160000</v>
      </c>
      <c r="N486">
        <v>216</v>
      </c>
      <c r="O486">
        <v>3.5</v>
      </c>
      <c r="P486" t="s">
        <v>20</v>
      </c>
      <c r="Q486" t="s">
        <v>17</v>
      </c>
      <c r="R486" s="2">
        <f>Table4[[#This Row],[total_followers]]/(Table4[[#This Row],[total_time_streamed]] / 60)</f>
        <v>13983.822042467138</v>
      </c>
      <c r="S486" t="str">
        <f>IF(Table4[[#This Row],[avg_games_per_stream]] &gt; 2, "Variety", "Focused")</f>
        <v>Focused</v>
      </c>
      <c r="T486" s="4">
        <f>Table4[[#This Row],[avg_viewers_per_stream]] / Table4[[#This Row],[total_followers]]</f>
        <v>9.0672451193058573E-4</v>
      </c>
    </row>
    <row r="487" spans="1:20">
      <c r="A487">
        <v>487</v>
      </c>
      <c r="B487" t="s">
        <v>678</v>
      </c>
      <c r="C487" t="s">
        <v>3</v>
      </c>
      <c r="D487" t="s">
        <v>39</v>
      </c>
      <c r="E487" t="s">
        <v>51</v>
      </c>
      <c r="F487" t="s">
        <v>121</v>
      </c>
      <c r="G487" s="3">
        <v>4.3</v>
      </c>
      <c r="H487">
        <v>3789</v>
      </c>
      <c r="I487">
        <v>45321</v>
      </c>
      <c r="J487">
        <v>1.2</v>
      </c>
      <c r="K487">
        <v>5649</v>
      </c>
      <c r="L487" s="2">
        <v>4350000</v>
      </c>
      <c r="M487" s="2">
        <v>52000000</v>
      </c>
      <c r="N487">
        <v>66</v>
      </c>
      <c r="O487">
        <v>3.7</v>
      </c>
      <c r="P487" t="s">
        <v>16</v>
      </c>
      <c r="Q487" t="s">
        <v>16</v>
      </c>
      <c r="R487" s="2">
        <f>Table4[[#This Row],[total_followers]]/(Table4[[#This Row],[total_time_streamed]] / 60)</f>
        <v>46202.86776420605</v>
      </c>
      <c r="S487" t="str">
        <f>IF(Table4[[#This Row],[avg_games_per_stream]] &gt; 2, "Variety", "Focused")</f>
        <v>Focused</v>
      </c>
      <c r="T487" s="4">
        <f>Table4[[#This Row],[avg_viewers_per_stream]] / Table4[[#This Row],[total_followers]]</f>
        <v>1.0418620689655173E-2</v>
      </c>
    </row>
    <row r="488" spans="1:20">
      <c r="A488">
        <v>488</v>
      </c>
      <c r="B488" t="s">
        <v>679</v>
      </c>
      <c r="C488" t="s">
        <v>7</v>
      </c>
      <c r="D488" t="s">
        <v>39</v>
      </c>
      <c r="E488" t="s">
        <v>66</v>
      </c>
      <c r="F488" t="s">
        <v>54</v>
      </c>
      <c r="G488" s="3">
        <v>4</v>
      </c>
      <c r="H488">
        <v>5300</v>
      </c>
      <c r="I488">
        <v>5414</v>
      </c>
      <c r="J488">
        <v>1.9</v>
      </c>
      <c r="K488">
        <v>3803</v>
      </c>
      <c r="L488" s="2">
        <v>459000</v>
      </c>
      <c r="M488" s="2">
        <v>4690000</v>
      </c>
      <c r="N488">
        <v>79</v>
      </c>
      <c r="O488">
        <v>4.3</v>
      </c>
      <c r="P488" t="s">
        <v>19</v>
      </c>
      <c r="Q488" t="s">
        <v>16</v>
      </c>
      <c r="R488" s="2">
        <f>Table4[[#This Row],[total_followers]]/(Table4[[#This Row],[total_time_streamed]] / 60)</f>
        <v>7241.6513278990269</v>
      </c>
      <c r="S488" t="str">
        <f>IF(Table4[[#This Row],[avg_games_per_stream]] &gt; 2, "Variety", "Focused")</f>
        <v>Focused</v>
      </c>
      <c r="T488" s="4">
        <f>Table4[[#This Row],[avg_viewers_per_stream]] / Table4[[#This Row],[total_followers]]</f>
        <v>1.179520697167756E-2</v>
      </c>
    </row>
    <row r="489" spans="1:20">
      <c r="A489">
        <v>489</v>
      </c>
      <c r="B489" t="s">
        <v>680</v>
      </c>
      <c r="C489" t="s">
        <v>3</v>
      </c>
      <c r="D489" t="s">
        <v>39</v>
      </c>
      <c r="E489" t="s">
        <v>51</v>
      </c>
      <c r="F489" t="s">
        <v>681</v>
      </c>
      <c r="G489" s="3">
        <v>3.6</v>
      </c>
      <c r="H489">
        <v>1120</v>
      </c>
      <c r="I489">
        <v>6087</v>
      </c>
      <c r="J489">
        <v>1.3</v>
      </c>
      <c r="K489">
        <v>5872</v>
      </c>
      <c r="L489" s="2">
        <v>162000</v>
      </c>
      <c r="M489" s="2">
        <v>8039999</v>
      </c>
      <c r="N489">
        <v>943</v>
      </c>
      <c r="O489">
        <v>4.0999999999999996</v>
      </c>
      <c r="P489" t="s">
        <v>17</v>
      </c>
      <c r="Q489" t="s">
        <v>16</v>
      </c>
      <c r="R489" s="2">
        <f>Table4[[#This Row],[total_followers]]/(Table4[[#This Row],[total_time_streamed]] / 60)</f>
        <v>1655.3133514986378</v>
      </c>
      <c r="S489" t="str">
        <f>IF(Table4[[#This Row],[avg_games_per_stream]] &gt; 2, "Variety", "Focused")</f>
        <v>Focused</v>
      </c>
      <c r="T489" s="4">
        <f>Table4[[#This Row],[avg_viewers_per_stream]] / Table4[[#This Row],[total_followers]]</f>
        <v>3.7574074074074072E-2</v>
      </c>
    </row>
    <row r="490" spans="1:20">
      <c r="A490">
        <v>490</v>
      </c>
      <c r="B490" t="s">
        <v>682</v>
      </c>
      <c r="C490" t="s">
        <v>3</v>
      </c>
      <c r="D490" t="s">
        <v>39</v>
      </c>
      <c r="E490" t="s">
        <v>46</v>
      </c>
      <c r="G490" s="3">
        <v>5.8</v>
      </c>
      <c r="H490">
        <v>1408</v>
      </c>
      <c r="I490">
        <v>48679</v>
      </c>
      <c r="J490">
        <v>1</v>
      </c>
      <c r="K490">
        <v>6430</v>
      </c>
      <c r="L490" s="2">
        <v>158000</v>
      </c>
      <c r="M490" s="2">
        <v>5420000</v>
      </c>
      <c r="N490">
        <v>1</v>
      </c>
      <c r="O490">
        <v>0.5</v>
      </c>
      <c r="P490" t="s">
        <v>20</v>
      </c>
      <c r="Q490" t="s">
        <v>14</v>
      </c>
      <c r="R490" s="2">
        <f>Table4[[#This Row],[total_followers]]/(Table4[[#This Row],[total_time_streamed]] / 60)</f>
        <v>1474.3390357698288</v>
      </c>
      <c r="S490" t="str">
        <f>IF(Table4[[#This Row],[avg_games_per_stream]] &gt; 2, "Variety", "Focused")</f>
        <v>Focused</v>
      </c>
      <c r="T490" s="4">
        <f>Table4[[#This Row],[avg_viewers_per_stream]] / Table4[[#This Row],[total_followers]]</f>
        <v>0.30809493670886073</v>
      </c>
    </row>
    <row r="491" spans="1:20">
      <c r="A491">
        <v>491</v>
      </c>
      <c r="B491" t="s">
        <v>683</v>
      </c>
      <c r="C491" t="s">
        <v>61</v>
      </c>
      <c r="D491" t="s">
        <v>39</v>
      </c>
      <c r="E491" t="s">
        <v>40</v>
      </c>
      <c r="F491" t="s">
        <v>150</v>
      </c>
      <c r="G491" s="3">
        <v>4.2</v>
      </c>
      <c r="H491">
        <v>2130</v>
      </c>
      <c r="I491">
        <v>1066</v>
      </c>
      <c r="J491">
        <v>1.1000000000000001</v>
      </c>
      <c r="K491">
        <v>2756</v>
      </c>
      <c r="L491" s="2">
        <v>141000</v>
      </c>
      <c r="M491" s="2">
        <v>707000</v>
      </c>
      <c r="N491">
        <v>27</v>
      </c>
      <c r="O491">
        <v>3.1</v>
      </c>
      <c r="P491" t="s">
        <v>20</v>
      </c>
      <c r="Q491" t="s">
        <v>14</v>
      </c>
      <c r="R491" s="2">
        <f>Table4[[#This Row],[total_followers]]/(Table4[[#This Row],[total_time_streamed]] / 60)</f>
        <v>3069.6661828737301</v>
      </c>
      <c r="S491" t="str">
        <f>IF(Table4[[#This Row],[avg_games_per_stream]] &gt; 2, "Variety", "Focused")</f>
        <v>Focused</v>
      </c>
      <c r="T491" s="4">
        <f>Table4[[#This Row],[avg_viewers_per_stream]] / Table4[[#This Row],[total_followers]]</f>
        <v>7.5602836879432624E-3</v>
      </c>
    </row>
    <row r="492" spans="1:20">
      <c r="A492">
        <v>492</v>
      </c>
      <c r="B492" t="s">
        <v>684</v>
      </c>
      <c r="C492" t="s">
        <v>7</v>
      </c>
      <c r="D492" t="s">
        <v>39</v>
      </c>
      <c r="E492" t="s">
        <v>40</v>
      </c>
      <c r="F492" t="s">
        <v>46</v>
      </c>
      <c r="G492" s="3">
        <v>6</v>
      </c>
      <c r="H492">
        <v>2890</v>
      </c>
      <c r="I492">
        <v>21602</v>
      </c>
      <c r="J492">
        <v>1.9</v>
      </c>
      <c r="K492">
        <v>10343</v>
      </c>
      <c r="L492" s="2">
        <v>467000</v>
      </c>
      <c r="M492" s="2">
        <v>34700000</v>
      </c>
      <c r="N492">
        <v>503</v>
      </c>
      <c r="O492">
        <v>4.5</v>
      </c>
      <c r="P492" t="s">
        <v>20</v>
      </c>
      <c r="Q492" t="s">
        <v>14</v>
      </c>
      <c r="R492" s="2">
        <f>Table4[[#This Row],[total_followers]]/(Table4[[#This Row],[total_time_streamed]] / 60)</f>
        <v>2709.0786038866868</v>
      </c>
      <c r="S492" t="str">
        <f>IF(Table4[[#This Row],[avg_games_per_stream]] &gt; 2, "Variety", "Focused")</f>
        <v>Focused</v>
      </c>
      <c r="T492" s="4">
        <f>Table4[[#This Row],[avg_viewers_per_stream]] / Table4[[#This Row],[total_followers]]</f>
        <v>4.6256959314775158E-2</v>
      </c>
    </row>
    <row r="493" spans="1:20">
      <c r="A493">
        <v>493</v>
      </c>
      <c r="B493" t="s">
        <v>685</v>
      </c>
      <c r="C493" t="s">
        <v>63</v>
      </c>
      <c r="D493" t="s">
        <v>39</v>
      </c>
      <c r="E493" t="s">
        <v>595</v>
      </c>
      <c r="G493" s="3">
        <v>13.9</v>
      </c>
      <c r="H493">
        <v>20</v>
      </c>
      <c r="I493">
        <v>0</v>
      </c>
      <c r="J493">
        <v>1</v>
      </c>
      <c r="K493">
        <v>420</v>
      </c>
      <c r="L493" s="2">
        <v>2</v>
      </c>
      <c r="M493" s="2">
        <v>0</v>
      </c>
      <c r="N493">
        <v>1</v>
      </c>
      <c r="O493">
        <v>0.7</v>
      </c>
      <c r="P493" t="s">
        <v>16</v>
      </c>
      <c r="Q493" t="s">
        <v>14</v>
      </c>
      <c r="R493" s="2">
        <f>Table4[[#This Row],[total_followers]]/(Table4[[#This Row],[total_time_streamed]] / 60)</f>
        <v>0.2857142857142857</v>
      </c>
      <c r="S493" t="str">
        <f>IF(Table4[[#This Row],[avg_games_per_stream]] &gt; 2, "Variety", "Focused")</f>
        <v>Focused</v>
      </c>
      <c r="T493" s="4">
        <f>Table4[[#This Row],[avg_viewers_per_stream]] / Table4[[#This Row],[total_followers]]</f>
        <v>0</v>
      </c>
    </row>
    <row r="494" spans="1:20">
      <c r="A494">
        <v>494</v>
      </c>
      <c r="B494" t="s">
        <v>686</v>
      </c>
      <c r="C494" t="s">
        <v>63</v>
      </c>
      <c r="D494" t="s">
        <v>39</v>
      </c>
      <c r="E494" t="s">
        <v>56</v>
      </c>
      <c r="F494" t="s">
        <v>445</v>
      </c>
      <c r="G494" s="3">
        <v>8</v>
      </c>
      <c r="H494">
        <v>8820</v>
      </c>
      <c r="I494">
        <v>0</v>
      </c>
      <c r="J494">
        <v>1</v>
      </c>
      <c r="K494">
        <v>1187</v>
      </c>
      <c r="L494" s="2">
        <v>131000</v>
      </c>
      <c r="M494" s="2">
        <v>0</v>
      </c>
      <c r="N494">
        <v>2</v>
      </c>
      <c r="O494">
        <v>2.6</v>
      </c>
      <c r="P494" t="s">
        <v>18</v>
      </c>
      <c r="Q494" t="s">
        <v>15</v>
      </c>
      <c r="R494" s="2">
        <f>Table4[[#This Row],[total_followers]]/(Table4[[#This Row],[total_time_streamed]] / 60)</f>
        <v>6621.7354675652905</v>
      </c>
      <c r="S494" t="str">
        <f>IF(Table4[[#This Row],[avg_games_per_stream]] &gt; 2, "Variety", "Focused")</f>
        <v>Focused</v>
      </c>
      <c r="T494" s="4">
        <f>Table4[[#This Row],[avg_viewers_per_stream]] / Table4[[#This Row],[total_followers]]</f>
        <v>0</v>
      </c>
    </row>
    <row r="495" spans="1:20">
      <c r="A495">
        <v>495</v>
      </c>
      <c r="B495" t="s">
        <v>687</v>
      </c>
      <c r="C495" t="s">
        <v>3</v>
      </c>
      <c r="D495" t="s">
        <v>39</v>
      </c>
      <c r="E495" t="s">
        <v>123</v>
      </c>
      <c r="F495" t="s">
        <v>688</v>
      </c>
      <c r="G495" s="3">
        <v>6.1</v>
      </c>
      <c r="H495">
        <v>5230</v>
      </c>
      <c r="I495">
        <v>5209</v>
      </c>
      <c r="J495">
        <v>1.1000000000000001</v>
      </c>
      <c r="K495">
        <v>3205</v>
      </c>
      <c r="L495" s="2">
        <v>273000</v>
      </c>
      <c r="M495" s="2">
        <v>2720000</v>
      </c>
      <c r="N495">
        <v>29</v>
      </c>
      <c r="O495">
        <v>2.1</v>
      </c>
      <c r="P495" t="s">
        <v>14</v>
      </c>
      <c r="Q495" t="s">
        <v>14</v>
      </c>
      <c r="R495" s="2">
        <f>Table4[[#This Row],[total_followers]]/(Table4[[#This Row],[total_time_streamed]] / 60)</f>
        <v>5110.7644305772237</v>
      </c>
      <c r="S495" t="str">
        <f>IF(Table4[[#This Row],[avg_games_per_stream]] &gt; 2, "Variety", "Focused")</f>
        <v>Focused</v>
      </c>
      <c r="T495" s="4">
        <f>Table4[[#This Row],[avg_viewers_per_stream]] / Table4[[#This Row],[total_followers]]</f>
        <v>1.908058608058608E-2</v>
      </c>
    </row>
    <row r="496" spans="1:20">
      <c r="A496">
        <v>496</v>
      </c>
      <c r="B496" t="s">
        <v>689</v>
      </c>
      <c r="C496" t="s">
        <v>6</v>
      </c>
      <c r="D496" t="s">
        <v>39</v>
      </c>
      <c r="E496" t="s">
        <v>85</v>
      </c>
      <c r="G496" s="3">
        <v>21.1</v>
      </c>
      <c r="H496">
        <v>1350</v>
      </c>
      <c r="I496">
        <v>0</v>
      </c>
      <c r="J496">
        <v>1</v>
      </c>
      <c r="K496">
        <v>1900</v>
      </c>
      <c r="L496" s="2">
        <v>2200</v>
      </c>
      <c r="M496" s="2">
        <v>0</v>
      </c>
      <c r="N496">
        <v>1</v>
      </c>
      <c r="O496">
        <v>3.2</v>
      </c>
      <c r="P496" t="s">
        <v>17</v>
      </c>
      <c r="Q496" t="s">
        <v>17</v>
      </c>
      <c r="R496" s="2">
        <f>Table4[[#This Row],[total_followers]]/(Table4[[#This Row],[total_time_streamed]] / 60)</f>
        <v>69.473684210526315</v>
      </c>
      <c r="S496" t="str">
        <f>IF(Table4[[#This Row],[avg_games_per_stream]] &gt; 2, "Variety", "Focused")</f>
        <v>Focused</v>
      </c>
      <c r="T496" s="4">
        <f>Table4[[#This Row],[avg_viewers_per_stream]] / Table4[[#This Row],[total_followers]]</f>
        <v>0</v>
      </c>
    </row>
    <row r="497" spans="1:20">
      <c r="A497">
        <v>497</v>
      </c>
      <c r="B497" t="s">
        <v>690</v>
      </c>
      <c r="C497" t="s">
        <v>667</v>
      </c>
      <c r="D497" t="s">
        <v>39</v>
      </c>
      <c r="E497" t="s">
        <v>64</v>
      </c>
      <c r="F497" t="s">
        <v>40</v>
      </c>
      <c r="G497" s="3">
        <v>6.2</v>
      </c>
      <c r="H497">
        <v>3440</v>
      </c>
      <c r="I497">
        <v>4736</v>
      </c>
      <c r="J497">
        <v>2</v>
      </c>
      <c r="K497">
        <v>5347</v>
      </c>
      <c r="L497" s="2">
        <v>310000</v>
      </c>
      <c r="M497" s="2">
        <v>4270000</v>
      </c>
      <c r="N497">
        <v>181</v>
      </c>
      <c r="O497">
        <v>2.5</v>
      </c>
      <c r="P497" t="s">
        <v>17</v>
      </c>
      <c r="Q497" t="s">
        <v>14</v>
      </c>
      <c r="R497" s="2">
        <f>Table4[[#This Row],[total_followers]]/(Table4[[#This Row],[total_time_streamed]] / 60)</f>
        <v>3478.5861230596597</v>
      </c>
      <c r="S497" t="str">
        <f>IF(Table4[[#This Row],[avg_games_per_stream]] &gt; 2, "Variety", "Focused")</f>
        <v>Focused</v>
      </c>
      <c r="T497" s="4">
        <f>Table4[[#This Row],[avg_viewers_per_stream]] / Table4[[#This Row],[total_followers]]</f>
        <v>1.5277419354838709E-2</v>
      </c>
    </row>
    <row r="498" spans="1:20">
      <c r="A498">
        <v>498</v>
      </c>
      <c r="B498" t="s">
        <v>691</v>
      </c>
      <c r="C498" t="s">
        <v>3</v>
      </c>
      <c r="D498" t="s">
        <v>39</v>
      </c>
      <c r="E498" t="s">
        <v>189</v>
      </c>
      <c r="F498" t="s">
        <v>123</v>
      </c>
      <c r="G498" s="3">
        <v>5.6</v>
      </c>
      <c r="H498">
        <v>2320</v>
      </c>
      <c r="I498">
        <v>30305</v>
      </c>
      <c r="J498">
        <v>1.3</v>
      </c>
      <c r="K498">
        <v>11781</v>
      </c>
      <c r="L498" s="2">
        <v>642000</v>
      </c>
      <c r="M498" s="2">
        <v>70600000</v>
      </c>
      <c r="N498">
        <v>99</v>
      </c>
      <c r="O498">
        <v>5.3</v>
      </c>
      <c r="P498" t="s">
        <v>19</v>
      </c>
      <c r="Q498" t="s">
        <v>14</v>
      </c>
      <c r="R498" s="2">
        <f>Table4[[#This Row],[total_followers]]/(Table4[[#This Row],[total_time_streamed]] / 60)</f>
        <v>3269.6715049656227</v>
      </c>
      <c r="S498" t="str">
        <f>IF(Table4[[#This Row],[avg_games_per_stream]] &gt; 2, "Variety", "Focused")</f>
        <v>Focused</v>
      </c>
      <c r="T498" s="4">
        <f>Table4[[#This Row],[avg_viewers_per_stream]] / Table4[[#This Row],[total_followers]]</f>
        <v>4.7204049844236762E-2</v>
      </c>
    </row>
    <row r="499" spans="1:20">
      <c r="A499">
        <v>499</v>
      </c>
      <c r="B499" t="s">
        <v>692</v>
      </c>
      <c r="C499" t="s">
        <v>3</v>
      </c>
      <c r="D499" t="s">
        <v>39</v>
      </c>
      <c r="E499" t="s">
        <v>40</v>
      </c>
      <c r="F499" t="s">
        <v>150</v>
      </c>
      <c r="G499" s="3">
        <v>5.0999999999999996</v>
      </c>
      <c r="H499">
        <v>9180</v>
      </c>
      <c r="I499">
        <v>13147</v>
      </c>
      <c r="J499">
        <v>1.2</v>
      </c>
      <c r="K499">
        <v>3152</v>
      </c>
      <c r="L499" s="2">
        <v>563000</v>
      </c>
      <c r="M499" s="2">
        <v>8060000</v>
      </c>
      <c r="N499">
        <v>24</v>
      </c>
      <c r="O499">
        <v>1.8</v>
      </c>
      <c r="P499" t="s">
        <v>14</v>
      </c>
      <c r="Q499" t="s">
        <v>19</v>
      </c>
      <c r="R499" s="2">
        <f>Table4[[#This Row],[total_followers]]/(Table4[[#This Row],[total_time_streamed]] / 60)</f>
        <v>10717.005076142132</v>
      </c>
      <c r="S499" t="str">
        <f>IF(Table4[[#This Row],[avg_games_per_stream]] &gt; 2, "Variety", "Focused")</f>
        <v>Focused</v>
      </c>
      <c r="T499" s="4">
        <f>Table4[[#This Row],[avg_viewers_per_stream]] / Table4[[#This Row],[total_followers]]</f>
        <v>2.3351687388987567E-2</v>
      </c>
    </row>
    <row r="500" spans="1:20">
      <c r="A500">
        <v>500</v>
      </c>
      <c r="B500" t="s">
        <v>693</v>
      </c>
      <c r="C500" t="s">
        <v>63</v>
      </c>
      <c r="D500" t="s">
        <v>39</v>
      </c>
      <c r="E500" t="s">
        <v>595</v>
      </c>
      <c r="G500" s="3">
        <v>4.0999999999999996</v>
      </c>
      <c r="H500">
        <v>20</v>
      </c>
      <c r="I500">
        <v>0</v>
      </c>
      <c r="J500">
        <v>1</v>
      </c>
      <c r="K500">
        <v>80</v>
      </c>
      <c r="L500" s="2">
        <v>10500</v>
      </c>
      <c r="M500" s="2">
        <v>0</v>
      </c>
      <c r="N500">
        <v>1</v>
      </c>
      <c r="O500">
        <v>1.6</v>
      </c>
      <c r="P500" t="s">
        <v>15</v>
      </c>
      <c r="Q500" t="s">
        <v>15</v>
      </c>
      <c r="R500" s="2">
        <f>Table4[[#This Row],[total_followers]]/(Table4[[#This Row],[total_time_streamed]] / 60)</f>
        <v>7875</v>
      </c>
      <c r="S500" t="str">
        <f>IF(Table4[[#This Row],[avg_games_per_stream]] &gt; 2, "Variety", "Focused")</f>
        <v>Focused</v>
      </c>
      <c r="T500" s="4">
        <f>Table4[[#This Row],[avg_viewers_per_stream]] / Table4[[#This Row],[total_followers]]</f>
        <v>0</v>
      </c>
    </row>
    <row r="501" spans="1:20">
      <c r="A501">
        <v>501</v>
      </c>
      <c r="B501" t="s">
        <v>694</v>
      </c>
      <c r="C501" t="s">
        <v>3</v>
      </c>
      <c r="D501" t="s">
        <v>39</v>
      </c>
      <c r="E501" t="s">
        <v>695</v>
      </c>
      <c r="F501" t="s">
        <v>696</v>
      </c>
      <c r="G501" s="3">
        <v>8</v>
      </c>
      <c r="H501">
        <v>1450</v>
      </c>
      <c r="I501">
        <v>3220</v>
      </c>
      <c r="J501">
        <v>1</v>
      </c>
      <c r="K501">
        <v>7766</v>
      </c>
      <c r="L501" s="2">
        <v>136000</v>
      </c>
      <c r="M501" s="2">
        <v>303000</v>
      </c>
      <c r="N501">
        <v>19</v>
      </c>
      <c r="O501">
        <v>5.6</v>
      </c>
      <c r="P501" t="s">
        <v>16</v>
      </c>
      <c r="Q501" t="s">
        <v>17</v>
      </c>
      <c r="R501" s="2">
        <f>Table4[[#This Row],[total_followers]]/(Table4[[#This Row],[total_time_streamed]] / 60)</f>
        <v>1050.7339685809941</v>
      </c>
      <c r="S501" t="str">
        <f>IF(Table4[[#This Row],[avg_games_per_stream]] &gt; 2, "Variety", "Focused")</f>
        <v>Focused</v>
      </c>
      <c r="T501" s="4">
        <f>Table4[[#This Row],[avg_viewers_per_stream]] / Table4[[#This Row],[total_followers]]</f>
        <v>2.3676470588235295E-2</v>
      </c>
    </row>
    <row r="502" spans="1:20">
      <c r="A502">
        <v>502</v>
      </c>
      <c r="B502" t="s">
        <v>697</v>
      </c>
      <c r="C502" t="s">
        <v>4</v>
      </c>
      <c r="D502" t="s">
        <v>39</v>
      </c>
      <c r="E502" t="s">
        <v>40</v>
      </c>
      <c r="F502" t="s">
        <v>74</v>
      </c>
      <c r="G502" s="3">
        <v>7.1</v>
      </c>
      <c r="H502">
        <v>3820</v>
      </c>
      <c r="I502">
        <v>29268</v>
      </c>
      <c r="J502">
        <v>1.8</v>
      </c>
      <c r="K502">
        <v>12396</v>
      </c>
      <c r="L502" s="2">
        <v>793000</v>
      </c>
      <c r="M502" s="2">
        <v>60700000</v>
      </c>
      <c r="N502">
        <v>221</v>
      </c>
      <c r="O502">
        <v>4.5</v>
      </c>
      <c r="P502" t="s">
        <v>17</v>
      </c>
      <c r="Q502" t="s">
        <v>15</v>
      </c>
      <c r="R502" s="2">
        <f>Table4[[#This Row],[total_followers]]/(Table4[[#This Row],[total_time_streamed]] / 60)</f>
        <v>3838.3349467570183</v>
      </c>
      <c r="S502" t="str">
        <f>IF(Table4[[#This Row],[avg_games_per_stream]] &gt; 2, "Variety", "Focused")</f>
        <v>Focused</v>
      </c>
      <c r="T502" s="4">
        <f>Table4[[#This Row],[avg_viewers_per_stream]] / Table4[[#This Row],[total_followers]]</f>
        <v>3.6907944514501891E-2</v>
      </c>
    </row>
    <row r="503" spans="1:20">
      <c r="A503">
        <v>503</v>
      </c>
      <c r="B503" t="s">
        <v>698</v>
      </c>
      <c r="C503" t="s">
        <v>4</v>
      </c>
      <c r="D503" t="s">
        <v>39</v>
      </c>
      <c r="E503" t="s">
        <v>255</v>
      </c>
      <c r="F503" t="s">
        <v>255</v>
      </c>
      <c r="G503" s="3">
        <v>5</v>
      </c>
      <c r="H503">
        <v>530</v>
      </c>
      <c r="I503">
        <v>3126</v>
      </c>
      <c r="J503">
        <v>1.5</v>
      </c>
      <c r="K503">
        <v>1151</v>
      </c>
      <c r="L503" s="2">
        <v>135000</v>
      </c>
      <c r="M503" s="2">
        <v>7750000</v>
      </c>
      <c r="N503">
        <v>532</v>
      </c>
      <c r="O503">
        <v>5.9</v>
      </c>
      <c r="P503" t="s">
        <v>19</v>
      </c>
      <c r="Q503" t="s">
        <v>14</v>
      </c>
      <c r="R503" s="2">
        <f>Table4[[#This Row],[total_followers]]/(Table4[[#This Row],[total_time_streamed]] / 60)</f>
        <v>7037.3588184187665</v>
      </c>
      <c r="S503" t="str">
        <f>IF(Table4[[#This Row],[avg_games_per_stream]] &gt; 2, "Variety", "Focused")</f>
        <v>Focused</v>
      </c>
      <c r="T503" s="4">
        <f>Table4[[#This Row],[avg_viewers_per_stream]] / Table4[[#This Row],[total_followers]]</f>
        <v>2.3155555555555554E-2</v>
      </c>
    </row>
    <row r="504" spans="1:20">
      <c r="A504">
        <v>504</v>
      </c>
      <c r="B504" t="s">
        <v>699</v>
      </c>
      <c r="C504" t="s">
        <v>3</v>
      </c>
      <c r="D504" t="s">
        <v>39</v>
      </c>
      <c r="E504" t="s">
        <v>40</v>
      </c>
      <c r="F504" t="s">
        <v>189</v>
      </c>
      <c r="G504" s="3">
        <v>13.3</v>
      </c>
      <c r="H504">
        <v>460</v>
      </c>
      <c r="I504">
        <v>27589</v>
      </c>
      <c r="J504">
        <v>3.2</v>
      </c>
      <c r="K504">
        <v>34556</v>
      </c>
      <c r="L504" s="2">
        <v>150000</v>
      </c>
      <c r="M504" s="2">
        <v>80800000</v>
      </c>
      <c r="N504">
        <v>2980</v>
      </c>
      <c r="O504">
        <v>6.5</v>
      </c>
      <c r="P504" t="s">
        <v>18</v>
      </c>
      <c r="Q504" t="s">
        <v>16</v>
      </c>
      <c r="R504" s="2">
        <f>Table4[[#This Row],[total_followers]]/(Table4[[#This Row],[total_time_streamed]] / 60)</f>
        <v>260.44681097349235</v>
      </c>
      <c r="S504" t="str">
        <f>IF(Table4[[#This Row],[avg_games_per_stream]] &gt; 2, "Variety", "Focused")</f>
        <v>Variety</v>
      </c>
      <c r="T504" s="4">
        <f>Table4[[#This Row],[avg_viewers_per_stream]] / Table4[[#This Row],[total_followers]]</f>
        <v>0.18392666666666665</v>
      </c>
    </row>
    <row r="505" spans="1:20">
      <c r="A505">
        <v>505</v>
      </c>
      <c r="B505" t="s">
        <v>700</v>
      </c>
      <c r="C505" t="s">
        <v>63</v>
      </c>
      <c r="D505" t="s">
        <v>39</v>
      </c>
      <c r="E505" t="s">
        <v>40</v>
      </c>
      <c r="F505" t="s">
        <v>363</v>
      </c>
      <c r="G505" s="3">
        <v>6</v>
      </c>
      <c r="H505">
        <v>1510</v>
      </c>
      <c r="I505">
        <v>30254</v>
      </c>
      <c r="J505">
        <v>2.5</v>
      </c>
      <c r="K505">
        <v>10869</v>
      </c>
      <c r="L505" s="2">
        <v>384000</v>
      </c>
      <c r="M505" s="2">
        <v>59200000</v>
      </c>
      <c r="N505">
        <v>1612</v>
      </c>
      <c r="O505">
        <v>4.5</v>
      </c>
      <c r="P505" t="s">
        <v>15</v>
      </c>
      <c r="Q505" t="s">
        <v>15</v>
      </c>
      <c r="R505" s="2">
        <f>Table4[[#This Row],[total_followers]]/(Table4[[#This Row],[total_time_streamed]] / 60)</f>
        <v>2119.7902290919128</v>
      </c>
      <c r="S505" t="str">
        <f>IF(Table4[[#This Row],[avg_games_per_stream]] &gt; 2, "Variety", "Focused")</f>
        <v>Variety</v>
      </c>
      <c r="T505" s="4">
        <f>Table4[[#This Row],[avg_viewers_per_stream]] / Table4[[#This Row],[total_followers]]</f>
        <v>7.8786458333333337E-2</v>
      </c>
    </row>
    <row r="506" spans="1:20">
      <c r="A506">
        <v>506</v>
      </c>
      <c r="B506" t="s">
        <v>701</v>
      </c>
      <c r="C506" t="s">
        <v>3</v>
      </c>
      <c r="D506" t="s">
        <v>39</v>
      </c>
      <c r="E506" t="s">
        <v>40</v>
      </c>
      <c r="F506" t="s">
        <v>46</v>
      </c>
      <c r="G506" s="3">
        <v>5.0999999999999996</v>
      </c>
      <c r="H506">
        <v>4390</v>
      </c>
      <c r="I506">
        <v>3340</v>
      </c>
      <c r="J506">
        <v>1.6</v>
      </c>
      <c r="K506">
        <v>4125</v>
      </c>
      <c r="L506" s="2">
        <v>372000</v>
      </c>
      <c r="M506" s="2">
        <v>283000</v>
      </c>
      <c r="N506">
        <v>91</v>
      </c>
      <c r="O506">
        <v>3</v>
      </c>
      <c r="P506" t="s">
        <v>17</v>
      </c>
      <c r="Q506" t="s">
        <v>14</v>
      </c>
      <c r="R506" s="2">
        <f>Table4[[#This Row],[total_followers]]/(Table4[[#This Row],[total_time_streamed]] / 60)</f>
        <v>5410.909090909091</v>
      </c>
      <c r="S506" t="str">
        <f>IF(Table4[[#This Row],[avg_games_per_stream]] &gt; 2, "Variety", "Focused")</f>
        <v>Focused</v>
      </c>
      <c r="T506" s="4">
        <f>Table4[[#This Row],[avg_viewers_per_stream]] / Table4[[#This Row],[total_followers]]</f>
        <v>8.9784946236559134E-3</v>
      </c>
    </row>
    <row r="507" spans="1:20">
      <c r="A507">
        <v>507</v>
      </c>
      <c r="B507" t="s">
        <v>702</v>
      </c>
      <c r="C507" t="s">
        <v>3</v>
      </c>
      <c r="D507" t="s">
        <v>39</v>
      </c>
      <c r="E507" t="s">
        <v>88</v>
      </c>
      <c r="F507" t="s">
        <v>703</v>
      </c>
      <c r="G507" s="3">
        <v>4.2</v>
      </c>
      <c r="H507">
        <v>4050</v>
      </c>
      <c r="I507">
        <v>2361</v>
      </c>
      <c r="J507">
        <v>1.3</v>
      </c>
      <c r="K507">
        <v>5187</v>
      </c>
      <c r="L507" s="2">
        <v>473000</v>
      </c>
      <c r="M507" s="2">
        <v>2760000</v>
      </c>
      <c r="N507">
        <v>49</v>
      </c>
      <c r="O507">
        <v>3.2</v>
      </c>
      <c r="P507" t="s">
        <v>15</v>
      </c>
      <c r="Q507" t="s">
        <v>16</v>
      </c>
      <c r="R507" s="2">
        <f>Table4[[#This Row],[total_followers]]/(Table4[[#This Row],[total_time_streamed]] / 60)</f>
        <v>5471.3707345286293</v>
      </c>
      <c r="S507" t="str">
        <f>IF(Table4[[#This Row],[avg_games_per_stream]] &gt; 2, "Variety", "Focused")</f>
        <v>Focused</v>
      </c>
      <c r="T507" s="4">
        <f>Table4[[#This Row],[avg_viewers_per_stream]] / Table4[[#This Row],[total_followers]]</f>
        <v>4.9915433403805495E-3</v>
      </c>
    </row>
    <row r="508" spans="1:20">
      <c r="A508">
        <v>508</v>
      </c>
      <c r="B508" t="s">
        <v>704</v>
      </c>
      <c r="C508" t="s">
        <v>63</v>
      </c>
      <c r="D508" t="s">
        <v>39</v>
      </c>
      <c r="E508" t="s">
        <v>40</v>
      </c>
      <c r="F508" t="s">
        <v>64</v>
      </c>
      <c r="G508" s="3">
        <v>2.7</v>
      </c>
      <c r="H508">
        <v>3920</v>
      </c>
      <c r="I508">
        <v>268</v>
      </c>
      <c r="J508">
        <v>1.8</v>
      </c>
      <c r="K508">
        <v>3108</v>
      </c>
      <c r="L508" s="2">
        <v>455000</v>
      </c>
      <c r="M508" s="2">
        <v>3110000</v>
      </c>
      <c r="N508">
        <v>97</v>
      </c>
      <c r="O508">
        <v>5.0999999999999996</v>
      </c>
      <c r="P508" t="s">
        <v>18</v>
      </c>
      <c r="Q508" t="s">
        <v>16</v>
      </c>
      <c r="R508" s="2">
        <f>Table4[[#This Row],[total_followers]]/(Table4[[#This Row],[total_time_streamed]] / 60)</f>
        <v>8783.7837837837851</v>
      </c>
      <c r="S508" t="str">
        <f>IF(Table4[[#This Row],[avg_games_per_stream]] &gt; 2, "Variety", "Focused")</f>
        <v>Focused</v>
      </c>
      <c r="T508" s="4">
        <f>Table4[[#This Row],[avg_viewers_per_stream]] / Table4[[#This Row],[total_followers]]</f>
        <v>5.8901098901098905E-4</v>
      </c>
    </row>
    <row r="509" spans="1:20">
      <c r="A509">
        <v>509</v>
      </c>
      <c r="B509" t="s">
        <v>705</v>
      </c>
      <c r="C509" t="s">
        <v>4</v>
      </c>
      <c r="D509" t="s">
        <v>39</v>
      </c>
      <c r="E509" t="s">
        <v>54</v>
      </c>
      <c r="F509" t="s">
        <v>40</v>
      </c>
      <c r="G509" s="3">
        <v>3.8</v>
      </c>
      <c r="H509">
        <v>8040</v>
      </c>
      <c r="I509">
        <v>80</v>
      </c>
      <c r="J509">
        <v>1.5</v>
      </c>
      <c r="K509">
        <v>2309</v>
      </c>
      <c r="L509" s="2">
        <v>440000</v>
      </c>
      <c r="M509" s="2">
        <v>4500</v>
      </c>
      <c r="N509">
        <v>46</v>
      </c>
      <c r="O509">
        <v>3.7</v>
      </c>
      <c r="P509" t="s">
        <v>14</v>
      </c>
      <c r="Q509" t="s">
        <v>14</v>
      </c>
      <c r="R509" s="2">
        <f>Table4[[#This Row],[total_followers]]/(Table4[[#This Row],[total_time_streamed]] / 60)</f>
        <v>11433.521004763967</v>
      </c>
      <c r="S509" t="str">
        <f>IF(Table4[[#This Row],[avg_games_per_stream]] &gt; 2, "Variety", "Focused")</f>
        <v>Focused</v>
      </c>
      <c r="T509" s="4">
        <f>Table4[[#This Row],[avg_viewers_per_stream]] / Table4[[#This Row],[total_followers]]</f>
        <v>1.8181818181818181E-4</v>
      </c>
    </row>
    <row r="510" spans="1:20">
      <c r="A510">
        <v>510</v>
      </c>
      <c r="B510" t="s">
        <v>706</v>
      </c>
      <c r="C510" t="s">
        <v>61</v>
      </c>
      <c r="D510" t="s">
        <v>39</v>
      </c>
      <c r="E510" t="s">
        <v>40</v>
      </c>
      <c r="F510" t="s">
        <v>117</v>
      </c>
      <c r="G510" s="3">
        <v>5.4</v>
      </c>
      <c r="H510">
        <v>2780</v>
      </c>
      <c r="I510">
        <v>27141</v>
      </c>
      <c r="J510">
        <v>1.7</v>
      </c>
      <c r="K510">
        <v>7676</v>
      </c>
      <c r="L510" s="2">
        <v>796000</v>
      </c>
      <c r="M510" s="2">
        <v>59300000</v>
      </c>
      <c r="N510">
        <v>501</v>
      </c>
      <c r="O510">
        <v>3.6</v>
      </c>
      <c r="P510" t="s">
        <v>20</v>
      </c>
      <c r="Q510" t="s">
        <v>15</v>
      </c>
      <c r="R510" s="2">
        <f>Table4[[#This Row],[total_followers]]/(Table4[[#This Row],[total_time_streamed]] / 60)</f>
        <v>6221.9906201146432</v>
      </c>
      <c r="S510" t="str">
        <f>IF(Table4[[#This Row],[avg_games_per_stream]] &gt; 2, "Variety", "Focused")</f>
        <v>Focused</v>
      </c>
      <c r="T510" s="4">
        <f>Table4[[#This Row],[avg_viewers_per_stream]] / Table4[[#This Row],[total_followers]]</f>
        <v>3.4096733668341705E-2</v>
      </c>
    </row>
    <row r="511" spans="1:20">
      <c r="A511">
        <v>511</v>
      </c>
      <c r="B511" t="s">
        <v>707</v>
      </c>
      <c r="C511" t="s">
        <v>3</v>
      </c>
      <c r="D511" t="s">
        <v>39</v>
      </c>
      <c r="E511" t="s">
        <v>708</v>
      </c>
      <c r="F511" t="s">
        <v>240</v>
      </c>
      <c r="G511" s="3">
        <v>4.3</v>
      </c>
      <c r="H511">
        <v>1818</v>
      </c>
      <c r="I511">
        <v>37121</v>
      </c>
      <c r="J511">
        <v>1</v>
      </c>
      <c r="K511">
        <v>2942</v>
      </c>
      <c r="L511" s="2">
        <v>1350000</v>
      </c>
      <c r="M511" s="2">
        <v>32200000</v>
      </c>
      <c r="N511">
        <v>55</v>
      </c>
      <c r="O511">
        <v>1.8</v>
      </c>
      <c r="P511" t="s">
        <v>18</v>
      </c>
      <c r="Q511" t="s">
        <v>18</v>
      </c>
      <c r="R511" s="2">
        <f>Table4[[#This Row],[total_followers]]/(Table4[[#This Row],[total_time_streamed]] / 60)</f>
        <v>27532.290958531612</v>
      </c>
      <c r="S511" t="str">
        <f>IF(Table4[[#This Row],[avg_games_per_stream]] &gt; 2, "Variety", "Focused")</f>
        <v>Focused</v>
      </c>
      <c r="T511" s="4">
        <f>Table4[[#This Row],[avg_viewers_per_stream]] / Table4[[#This Row],[total_followers]]</f>
        <v>2.7497037037037039E-2</v>
      </c>
    </row>
    <row r="512" spans="1:20">
      <c r="A512">
        <v>512</v>
      </c>
      <c r="B512" t="s">
        <v>709</v>
      </c>
      <c r="C512" t="s">
        <v>3</v>
      </c>
      <c r="D512" t="s">
        <v>58</v>
      </c>
      <c r="E512" t="s">
        <v>43</v>
      </c>
      <c r="F512" t="s">
        <v>12</v>
      </c>
      <c r="G512" s="3">
        <v>7.3</v>
      </c>
      <c r="H512">
        <v>154</v>
      </c>
      <c r="I512">
        <v>19486</v>
      </c>
      <c r="J512">
        <v>1</v>
      </c>
      <c r="K512">
        <v>1481</v>
      </c>
      <c r="L512" s="2">
        <v>308000</v>
      </c>
      <c r="M512" s="2">
        <v>3860000</v>
      </c>
      <c r="N512">
        <v>2</v>
      </c>
      <c r="O512">
        <v>0.7</v>
      </c>
      <c r="P512" t="s">
        <v>15</v>
      </c>
      <c r="Q512" t="s">
        <v>17</v>
      </c>
      <c r="R512" s="2">
        <f>Table4[[#This Row],[total_followers]]/(Table4[[#This Row],[total_time_streamed]] / 60)</f>
        <v>12478.055367994599</v>
      </c>
      <c r="S512" t="str">
        <f>IF(Table4[[#This Row],[avg_games_per_stream]] &gt; 2, "Variety", "Focused")</f>
        <v>Focused</v>
      </c>
      <c r="T512" s="4">
        <f>Table4[[#This Row],[avg_viewers_per_stream]] / Table4[[#This Row],[total_followers]]</f>
        <v>6.3266233766233762E-2</v>
      </c>
    </row>
    <row r="513" spans="1:20">
      <c r="A513">
        <v>513</v>
      </c>
      <c r="B513" t="s">
        <v>710</v>
      </c>
      <c r="C513" t="s">
        <v>63</v>
      </c>
      <c r="D513" t="s">
        <v>39</v>
      </c>
      <c r="E513" t="s">
        <v>595</v>
      </c>
      <c r="G513" s="3">
        <v>5.8</v>
      </c>
      <c r="H513">
        <v>70</v>
      </c>
      <c r="I513">
        <v>0</v>
      </c>
      <c r="J513">
        <v>1</v>
      </c>
      <c r="K513">
        <v>110</v>
      </c>
      <c r="L513" s="2">
        <v>7</v>
      </c>
      <c r="M513" s="2">
        <v>0</v>
      </c>
      <c r="N513">
        <v>1</v>
      </c>
      <c r="O513">
        <v>0.7</v>
      </c>
      <c r="P513" t="s">
        <v>16</v>
      </c>
      <c r="Q513" t="s">
        <v>17</v>
      </c>
      <c r="R513" s="2">
        <f>Table4[[#This Row],[total_followers]]/(Table4[[#This Row],[total_time_streamed]] / 60)</f>
        <v>3.8181818181818183</v>
      </c>
      <c r="S513" t="str">
        <f>IF(Table4[[#This Row],[avg_games_per_stream]] &gt; 2, "Variety", "Focused")</f>
        <v>Focused</v>
      </c>
      <c r="T513" s="4">
        <f>Table4[[#This Row],[avg_viewers_per_stream]] / Table4[[#This Row],[total_followers]]</f>
        <v>0</v>
      </c>
    </row>
    <row r="514" spans="1:20">
      <c r="A514">
        <v>514</v>
      </c>
      <c r="B514" t="s">
        <v>711</v>
      </c>
      <c r="C514" t="s">
        <v>3</v>
      </c>
      <c r="D514" t="s">
        <v>39</v>
      </c>
      <c r="E514" t="s">
        <v>40</v>
      </c>
      <c r="F514" t="s">
        <v>240</v>
      </c>
      <c r="G514" s="3">
        <v>2.4</v>
      </c>
      <c r="H514">
        <v>1389</v>
      </c>
      <c r="I514">
        <v>15456</v>
      </c>
      <c r="J514">
        <v>1</v>
      </c>
      <c r="K514">
        <v>1202</v>
      </c>
      <c r="L514" s="2">
        <v>668000</v>
      </c>
      <c r="M514" s="2">
        <v>7450000</v>
      </c>
      <c r="N514">
        <v>10</v>
      </c>
      <c r="O514">
        <v>2</v>
      </c>
      <c r="P514" t="s">
        <v>18</v>
      </c>
      <c r="Q514" t="s">
        <v>18</v>
      </c>
      <c r="R514" s="2">
        <f>Table4[[#This Row],[total_followers]]/(Table4[[#This Row],[total_time_streamed]] / 60)</f>
        <v>33344.425956738763</v>
      </c>
      <c r="S514" t="str">
        <f>IF(Table4[[#This Row],[avg_games_per_stream]] &gt; 2, "Variety", "Focused")</f>
        <v>Focused</v>
      </c>
      <c r="T514" s="4">
        <f>Table4[[#This Row],[avg_viewers_per_stream]] / Table4[[#This Row],[total_followers]]</f>
        <v>2.3137724550898204E-2</v>
      </c>
    </row>
    <row r="515" spans="1:20">
      <c r="A515">
        <v>515</v>
      </c>
      <c r="B515" t="s">
        <v>712</v>
      </c>
      <c r="C515" t="s">
        <v>7</v>
      </c>
      <c r="D515" t="s">
        <v>39</v>
      </c>
      <c r="E515" t="s">
        <v>40</v>
      </c>
      <c r="F515" t="s">
        <v>117</v>
      </c>
      <c r="G515" s="3">
        <v>4.8</v>
      </c>
      <c r="H515">
        <v>6280</v>
      </c>
      <c r="I515">
        <v>8020</v>
      </c>
      <c r="J515">
        <v>2</v>
      </c>
      <c r="K515">
        <v>2422</v>
      </c>
      <c r="L515" s="2">
        <v>316000</v>
      </c>
      <c r="M515" s="2">
        <v>396000</v>
      </c>
      <c r="N515">
        <v>249</v>
      </c>
      <c r="O515">
        <v>4.4000000000000004</v>
      </c>
      <c r="P515" t="s">
        <v>20</v>
      </c>
      <c r="Q515" t="s">
        <v>20</v>
      </c>
      <c r="R515" s="2">
        <f>Table4[[#This Row],[total_followers]]/(Table4[[#This Row],[total_time_streamed]] / 60)</f>
        <v>7828.2411230388107</v>
      </c>
      <c r="S515" t="str">
        <f>IF(Table4[[#This Row],[avg_games_per_stream]] &gt; 2, "Variety", "Focused")</f>
        <v>Focused</v>
      </c>
      <c r="T515" s="4">
        <f>Table4[[#This Row],[avg_viewers_per_stream]] / Table4[[#This Row],[total_followers]]</f>
        <v>2.5379746835443039E-2</v>
      </c>
    </row>
    <row r="516" spans="1:20">
      <c r="A516">
        <v>516</v>
      </c>
      <c r="B516" t="s">
        <v>713</v>
      </c>
      <c r="C516" t="s">
        <v>3</v>
      </c>
      <c r="D516" t="s">
        <v>39</v>
      </c>
      <c r="E516" t="s">
        <v>40</v>
      </c>
      <c r="F516" t="s">
        <v>695</v>
      </c>
      <c r="G516" s="3">
        <v>22.8</v>
      </c>
      <c r="H516">
        <v>2320</v>
      </c>
      <c r="I516">
        <v>147</v>
      </c>
      <c r="J516">
        <v>1.4</v>
      </c>
      <c r="K516">
        <v>20429</v>
      </c>
      <c r="L516" s="2">
        <v>131000</v>
      </c>
      <c r="M516" s="2">
        <v>733000</v>
      </c>
      <c r="N516">
        <v>45</v>
      </c>
      <c r="O516">
        <v>6.5</v>
      </c>
      <c r="P516" t="s">
        <v>16</v>
      </c>
      <c r="Q516" t="s">
        <v>15</v>
      </c>
      <c r="R516" s="2">
        <f>Table4[[#This Row],[total_followers]]/(Table4[[#This Row],[total_time_streamed]] / 60)</f>
        <v>384.7471731362279</v>
      </c>
      <c r="S516" t="str">
        <f>IF(Table4[[#This Row],[avg_games_per_stream]] &gt; 2, "Variety", "Focused")</f>
        <v>Focused</v>
      </c>
      <c r="T516" s="4">
        <f>Table4[[#This Row],[avg_viewers_per_stream]] / Table4[[#This Row],[total_followers]]</f>
        <v>1.1221374045801526E-3</v>
      </c>
    </row>
    <row r="517" spans="1:20">
      <c r="A517">
        <v>517</v>
      </c>
      <c r="B517" t="s">
        <v>714</v>
      </c>
      <c r="C517" t="s">
        <v>7</v>
      </c>
      <c r="D517" t="s">
        <v>39</v>
      </c>
      <c r="E517" t="s">
        <v>104</v>
      </c>
      <c r="F517" t="s">
        <v>104</v>
      </c>
      <c r="G517" s="3">
        <v>5.7</v>
      </c>
      <c r="H517">
        <v>4030</v>
      </c>
      <c r="I517">
        <v>7318</v>
      </c>
      <c r="J517">
        <v>1</v>
      </c>
      <c r="K517">
        <v>711</v>
      </c>
      <c r="L517" s="2">
        <v>979000</v>
      </c>
      <c r="M517" s="2">
        <v>17800000</v>
      </c>
      <c r="N517">
        <v>7</v>
      </c>
      <c r="O517">
        <v>4.3</v>
      </c>
      <c r="P517" t="s">
        <v>17</v>
      </c>
      <c r="Q517" t="s">
        <v>14</v>
      </c>
      <c r="R517" s="2">
        <f>Table4[[#This Row],[total_followers]]/(Table4[[#This Row],[total_time_streamed]] / 60)</f>
        <v>82616.033755274271</v>
      </c>
      <c r="S517" t="str">
        <f>IF(Table4[[#This Row],[avg_games_per_stream]] &gt; 2, "Variety", "Focused")</f>
        <v>Focused</v>
      </c>
      <c r="T517" s="4">
        <f>Table4[[#This Row],[avg_viewers_per_stream]] / Table4[[#This Row],[total_followers]]</f>
        <v>7.4749744637385091E-3</v>
      </c>
    </row>
    <row r="518" spans="1:20">
      <c r="A518">
        <v>518</v>
      </c>
      <c r="B518" t="s">
        <v>715</v>
      </c>
      <c r="C518" t="s">
        <v>7</v>
      </c>
      <c r="D518" t="s">
        <v>39</v>
      </c>
      <c r="E518" t="s">
        <v>226</v>
      </c>
      <c r="G518" s="3">
        <v>4.5</v>
      </c>
      <c r="H518">
        <v>5640</v>
      </c>
      <c r="I518">
        <v>8676</v>
      </c>
      <c r="J518">
        <v>1</v>
      </c>
      <c r="K518">
        <v>101</v>
      </c>
      <c r="L518" s="2">
        <v>113000</v>
      </c>
      <c r="M518" s="2">
        <v>1720000</v>
      </c>
      <c r="N518">
        <v>1</v>
      </c>
      <c r="O518">
        <v>0.7</v>
      </c>
      <c r="P518" t="s">
        <v>14</v>
      </c>
      <c r="Q518" t="s">
        <v>14</v>
      </c>
      <c r="R518" s="2">
        <f>Table4[[#This Row],[total_followers]]/(Table4[[#This Row],[total_time_streamed]] / 60)</f>
        <v>67128.712871287134</v>
      </c>
      <c r="S518" t="str">
        <f>IF(Table4[[#This Row],[avg_games_per_stream]] &gt; 2, "Variety", "Focused")</f>
        <v>Focused</v>
      </c>
      <c r="T518" s="4">
        <f>Table4[[#This Row],[avg_viewers_per_stream]] / Table4[[#This Row],[total_followers]]</f>
        <v>7.6778761061946907E-2</v>
      </c>
    </row>
    <row r="519" spans="1:20">
      <c r="A519">
        <v>519</v>
      </c>
      <c r="B519" t="s">
        <v>716</v>
      </c>
      <c r="C519" t="s">
        <v>63</v>
      </c>
      <c r="D519" t="s">
        <v>39</v>
      </c>
      <c r="E519" t="s">
        <v>595</v>
      </c>
      <c r="G519" s="3">
        <v>6.2</v>
      </c>
      <c r="H519">
        <v>20</v>
      </c>
      <c r="I519">
        <v>0</v>
      </c>
      <c r="J519">
        <v>1</v>
      </c>
      <c r="K519">
        <v>120</v>
      </c>
      <c r="L519" s="2">
        <v>579</v>
      </c>
      <c r="M519" s="2">
        <v>0</v>
      </c>
      <c r="N519">
        <v>1</v>
      </c>
      <c r="O519">
        <v>0.5</v>
      </c>
      <c r="P519" t="s">
        <v>18</v>
      </c>
      <c r="Q519" t="s">
        <v>18</v>
      </c>
      <c r="R519" s="2">
        <f>Table4[[#This Row],[total_followers]]/(Table4[[#This Row],[total_time_streamed]] / 60)</f>
        <v>289.5</v>
      </c>
      <c r="S519" t="str">
        <f>IF(Table4[[#This Row],[avg_games_per_stream]] &gt; 2, "Variety", "Focused")</f>
        <v>Focused</v>
      </c>
      <c r="T519" s="4">
        <f>Table4[[#This Row],[avg_viewers_per_stream]] / Table4[[#This Row],[total_followers]]</f>
        <v>0</v>
      </c>
    </row>
    <row r="520" spans="1:20">
      <c r="A520">
        <v>520</v>
      </c>
      <c r="B520" t="s">
        <v>717</v>
      </c>
      <c r="C520" t="s">
        <v>63</v>
      </c>
      <c r="D520" t="s">
        <v>39</v>
      </c>
      <c r="E520" t="s">
        <v>40</v>
      </c>
      <c r="F520" t="s">
        <v>66</v>
      </c>
      <c r="G520" s="3">
        <v>2.6</v>
      </c>
      <c r="H520">
        <v>1608</v>
      </c>
      <c r="I520">
        <v>10</v>
      </c>
      <c r="J520">
        <v>1.2</v>
      </c>
      <c r="K520">
        <v>9580</v>
      </c>
      <c r="L520" s="2">
        <v>608000</v>
      </c>
      <c r="M520" s="2">
        <v>287</v>
      </c>
      <c r="N520">
        <v>24</v>
      </c>
      <c r="O520">
        <v>3.1</v>
      </c>
      <c r="P520" t="s">
        <v>20</v>
      </c>
      <c r="Q520" t="s">
        <v>15</v>
      </c>
      <c r="R520" s="2">
        <f>Table4[[#This Row],[total_followers]]/(Table4[[#This Row],[total_time_streamed]] / 60)</f>
        <v>3807.9331941544888</v>
      </c>
      <c r="S520" t="str">
        <f>IF(Table4[[#This Row],[avg_games_per_stream]] &gt; 2, "Variety", "Focused")</f>
        <v>Focused</v>
      </c>
      <c r="T520" s="4">
        <f>Table4[[#This Row],[avg_viewers_per_stream]] / Table4[[#This Row],[total_followers]]</f>
        <v>1.6447368421052631E-5</v>
      </c>
    </row>
    <row r="521" spans="1:20">
      <c r="A521">
        <v>521</v>
      </c>
      <c r="B521" t="s">
        <v>718</v>
      </c>
      <c r="C521" t="s">
        <v>376</v>
      </c>
      <c r="D521" t="s">
        <v>39</v>
      </c>
      <c r="E521" t="s">
        <v>40</v>
      </c>
      <c r="F521" t="s">
        <v>344</v>
      </c>
      <c r="G521" s="3">
        <v>5.3</v>
      </c>
      <c r="H521">
        <v>1653</v>
      </c>
      <c r="I521">
        <v>0</v>
      </c>
      <c r="J521">
        <v>1</v>
      </c>
      <c r="K521">
        <v>102</v>
      </c>
      <c r="L521" s="2">
        <v>332000</v>
      </c>
      <c r="M521" s="2">
        <v>0</v>
      </c>
      <c r="N521">
        <v>10</v>
      </c>
      <c r="O521">
        <v>3.7</v>
      </c>
      <c r="P521" t="s">
        <v>20</v>
      </c>
      <c r="Q521" t="s">
        <v>15</v>
      </c>
      <c r="R521" s="2">
        <f>Table4[[#This Row],[total_followers]]/(Table4[[#This Row],[total_time_streamed]] / 60)</f>
        <v>195294.11764705883</v>
      </c>
      <c r="S521" t="str">
        <f>IF(Table4[[#This Row],[avg_games_per_stream]] &gt; 2, "Variety", "Focused")</f>
        <v>Focused</v>
      </c>
      <c r="T521" s="4">
        <f>Table4[[#This Row],[avg_viewers_per_stream]] / Table4[[#This Row],[total_followers]]</f>
        <v>0</v>
      </c>
    </row>
    <row r="522" spans="1:20">
      <c r="A522">
        <v>522</v>
      </c>
      <c r="B522" t="s">
        <v>719</v>
      </c>
      <c r="C522" t="s">
        <v>3</v>
      </c>
      <c r="D522" t="s">
        <v>39</v>
      </c>
      <c r="E522" t="s">
        <v>46</v>
      </c>
      <c r="F522" t="s">
        <v>54</v>
      </c>
      <c r="G522" s="3">
        <v>6.2</v>
      </c>
      <c r="H522">
        <v>4720</v>
      </c>
      <c r="I522">
        <v>19858</v>
      </c>
      <c r="J522">
        <v>1.1000000000000001</v>
      </c>
      <c r="K522">
        <v>8727</v>
      </c>
      <c r="L522" s="2">
        <v>709000</v>
      </c>
      <c r="M522" s="2">
        <v>29800000</v>
      </c>
      <c r="N522">
        <v>61</v>
      </c>
      <c r="O522">
        <v>4.0999999999999996</v>
      </c>
      <c r="P522" t="s">
        <v>16</v>
      </c>
      <c r="Q522" t="s">
        <v>14</v>
      </c>
      <c r="R522" s="2">
        <f>Table4[[#This Row],[total_followers]]/(Table4[[#This Row],[total_time_streamed]] / 60)</f>
        <v>4874.5273289790312</v>
      </c>
      <c r="S522" t="str">
        <f>IF(Table4[[#This Row],[avg_games_per_stream]] &gt; 2, "Variety", "Focused")</f>
        <v>Focused</v>
      </c>
      <c r="T522" s="4">
        <f>Table4[[#This Row],[avg_viewers_per_stream]] / Table4[[#This Row],[total_followers]]</f>
        <v>2.8008462623413256E-2</v>
      </c>
    </row>
    <row r="523" spans="1:20">
      <c r="A523">
        <v>523</v>
      </c>
      <c r="B523" t="s">
        <v>720</v>
      </c>
      <c r="C523" t="s">
        <v>3</v>
      </c>
      <c r="D523" t="s">
        <v>39</v>
      </c>
      <c r="E523" t="s">
        <v>88</v>
      </c>
      <c r="F523" t="s">
        <v>319</v>
      </c>
      <c r="G523" s="3">
        <v>7.3</v>
      </c>
      <c r="H523">
        <v>2110</v>
      </c>
      <c r="I523">
        <v>2111</v>
      </c>
      <c r="J523">
        <v>1.1000000000000001</v>
      </c>
      <c r="K523">
        <v>17821</v>
      </c>
      <c r="L523" s="2">
        <v>568000</v>
      </c>
      <c r="M523" s="2">
        <v>5390000</v>
      </c>
      <c r="N523">
        <v>37</v>
      </c>
      <c r="O523">
        <v>6.2</v>
      </c>
      <c r="P523" t="s">
        <v>19</v>
      </c>
      <c r="Q523" t="s">
        <v>14</v>
      </c>
      <c r="R523" s="2">
        <f>Table4[[#This Row],[total_followers]]/(Table4[[#This Row],[total_time_streamed]] / 60)</f>
        <v>1912.3505976095619</v>
      </c>
      <c r="S523" t="str">
        <f>IF(Table4[[#This Row],[avg_games_per_stream]] &gt; 2, "Variety", "Focused")</f>
        <v>Focused</v>
      </c>
      <c r="T523" s="4">
        <f>Table4[[#This Row],[avg_viewers_per_stream]] / Table4[[#This Row],[total_followers]]</f>
        <v>3.7165492957746478E-3</v>
      </c>
    </row>
    <row r="524" spans="1:20">
      <c r="A524">
        <v>524</v>
      </c>
      <c r="B524" t="s">
        <v>721</v>
      </c>
      <c r="C524" t="s">
        <v>63</v>
      </c>
      <c r="D524" t="s">
        <v>39</v>
      </c>
      <c r="E524" t="s">
        <v>595</v>
      </c>
      <c r="G524" s="3">
        <v>10.4</v>
      </c>
      <c r="H524">
        <v>40</v>
      </c>
      <c r="I524">
        <v>0</v>
      </c>
      <c r="J524">
        <v>1</v>
      </c>
      <c r="K524">
        <v>210</v>
      </c>
      <c r="L524" s="2">
        <v>4</v>
      </c>
      <c r="M524" s="2">
        <v>0</v>
      </c>
      <c r="N524">
        <v>1</v>
      </c>
      <c r="O524">
        <v>0.6</v>
      </c>
      <c r="P524" t="s">
        <v>15</v>
      </c>
      <c r="Q524" t="s">
        <v>15</v>
      </c>
      <c r="R524" s="2">
        <f>Table4[[#This Row],[total_followers]]/(Table4[[#This Row],[total_time_streamed]] / 60)</f>
        <v>1.1428571428571428</v>
      </c>
      <c r="S524" t="str">
        <f>IF(Table4[[#This Row],[avg_games_per_stream]] &gt; 2, "Variety", "Focused")</f>
        <v>Focused</v>
      </c>
      <c r="T524" s="4">
        <f>Table4[[#This Row],[avg_viewers_per_stream]] / Table4[[#This Row],[total_followers]]</f>
        <v>0</v>
      </c>
    </row>
    <row r="525" spans="1:20">
      <c r="A525">
        <v>525</v>
      </c>
      <c r="B525" t="s">
        <v>722</v>
      </c>
      <c r="C525" t="s">
        <v>6</v>
      </c>
      <c r="D525" t="s">
        <v>39</v>
      </c>
      <c r="E525" t="s">
        <v>85</v>
      </c>
      <c r="G525" s="3">
        <v>18.5</v>
      </c>
      <c r="H525">
        <v>820</v>
      </c>
      <c r="I525">
        <v>0</v>
      </c>
      <c r="J525">
        <v>1</v>
      </c>
      <c r="K525">
        <v>2220</v>
      </c>
      <c r="L525" s="2">
        <v>2300</v>
      </c>
      <c r="M525" s="2">
        <v>0</v>
      </c>
      <c r="N525">
        <v>1</v>
      </c>
      <c r="O525">
        <v>7</v>
      </c>
      <c r="P525" t="s">
        <v>19</v>
      </c>
      <c r="Q525" t="s">
        <v>15</v>
      </c>
      <c r="R525" s="2">
        <f>Table4[[#This Row],[total_followers]]/(Table4[[#This Row],[total_time_streamed]] / 60)</f>
        <v>62.162162162162161</v>
      </c>
      <c r="S525" t="str">
        <f>IF(Table4[[#This Row],[avg_games_per_stream]] &gt; 2, "Variety", "Focused")</f>
        <v>Focused</v>
      </c>
      <c r="T525" s="4">
        <f>Table4[[#This Row],[avg_viewers_per_stream]] / Table4[[#This Row],[total_followers]]</f>
        <v>0</v>
      </c>
    </row>
    <row r="526" spans="1:20">
      <c r="A526">
        <v>526</v>
      </c>
      <c r="B526" t="s">
        <v>723</v>
      </c>
      <c r="C526" t="s">
        <v>667</v>
      </c>
      <c r="D526" t="s">
        <v>39</v>
      </c>
      <c r="E526" t="s">
        <v>66</v>
      </c>
      <c r="F526" t="s">
        <v>233</v>
      </c>
      <c r="G526" s="3">
        <v>7.1</v>
      </c>
      <c r="H526">
        <v>4530</v>
      </c>
      <c r="I526">
        <v>25615</v>
      </c>
      <c r="J526">
        <v>1.7</v>
      </c>
      <c r="K526">
        <v>12741</v>
      </c>
      <c r="L526" s="2">
        <v>827000</v>
      </c>
      <c r="M526" s="2">
        <v>46400000</v>
      </c>
      <c r="N526">
        <v>242</v>
      </c>
      <c r="O526">
        <v>4.9000000000000004</v>
      </c>
      <c r="P526" t="s">
        <v>15</v>
      </c>
      <c r="Q526" t="s">
        <v>16</v>
      </c>
      <c r="R526" s="2">
        <f>Table4[[#This Row],[total_followers]]/(Table4[[#This Row],[total_time_streamed]] / 60)</f>
        <v>3894.5137744290087</v>
      </c>
      <c r="S526" t="str">
        <f>IF(Table4[[#This Row],[avg_games_per_stream]] &gt; 2, "Variety", "Focused")</f>
        <v>Focused</v>
      </c>
      <c r="T526" s="4">
        <f>Table4[[#This Row],[avg_viewers_per_stream]] / Table4[[#This Row],[total_followers]]</f>
        <v>3.0973397823458284E-2</v>
      </c>
    </row>
    <row r="527" spans="1:20">
      <c r="A527">
        <v>527</v>
      </c>
      <c r="B527" t="s">
        <v>724</v>
      </c>
      <c r="C527" t="s">
        <v>3</v>
      </c>
      <c r="D527" t="s">
        <v>39</v>
      </c>
      <c r="E527" t="s">
        <v>54</v>
      </c>
      <c r="F527" t="s">
        <v>68</v>
      </c>
      <c r="G527" s="3">
        <v>6.2</v>
      </c>
      <c r="H527">
        <v>4440</v>
      </c>
      <c r="I527">
        <v>6262</v>
      </c>
      <c r="J527">
        <v>1.3</v>
      </c>
      <c r="K527">
        <v>5852</v>
      </c>
      <c r="L527" s="2">
        <v>504000</v>
      </c>
      <c r="M527" s="2">
        <v>7110000</v>
      </c>
      <c r="N527">
        <v>70</v>
      </c>
      <c r="O527">
        <v>4.5999999999999996</v>
      </c>
      <c r="P527" t="s">
        <v>19</v>
      </c>
      <c r="Q527" t="s">
        <v>15</v>
      </c>
      <c r="R527" s="2">
        <f>Table4[[#This Row],[total_followers]]/(Table4[[#This Row],[total_time_streamed]] / 60)</f>
        <v>5167.4641148325363</v>
      </c>
      <c r="S527" t="str">
        <f>IF(Table4[[#This Row],[avg_games_per_stream]] &gt; 2, "Variety", "Focused")</f>
        <v>Focused</v>
      </c>
      <c r="T527" s="4">
        <f>Table4[[#This Row],[avg_viewers_per_stream]] / Table4[[#This Row],[total_followers]]</f>
        <v>1.2424603174603175E-2</v>
      </c>
    </row>
    <row r="528" spans="1:20">
      <c r="A528">
        <v>528</v>
      </c>
      <c r="B528" t="s">
        <v>725</v>
      </c>
      <c r="C528" t="s">
        <v>61</v>
      </c>
      <c r="D528" t="s">
        <v>39</v>
      </c>
      <c r="E528" t="s">
        <v>53</v>
      </c>
      <c r="F528" t="s">
        <v>233</v>
      </c>
      <c r="G528" s="3">
        <v>6</v>
      </c>
      <c r="H528">
        <v>1250</v>
      </c>
      <c r="I528">
        <v>6816</v>
      </c>
      <c r="J528">
        <v>1.2</v>
      </c>
      <c r="K528">
        <v>1121</v>
      </c>
      <c r="L528" s="2">
        <v>214000</v>
      </c>
      <c r="M528" s="2">
        <v>12000000</v>
      </c>
      <c r="N528">
        <v>103</v>
      </c>
      <c r="O528">
        <v>4.5999999999999996</v>
      </c>
      <c r="P528" t="s">
        <v>17</v>
      </c>
      <c r="Q528" t="s">
        <v>14</v>
      </c>
      <c r="R528" s="2">
        <f>Table4[[#This Row],[total_followers]]/(Table4[[#This Row],[total_time_streamed]] / 60)</f>
        <v>11454.058876003568</v>
      </c>
      <c r="S528" t="str">
        <f>IF(Table4[[#This Row],[avg_games_per_stream]] &gt; 2, "Variety", "Focused")</f>
        <v>Focused</v>
      </c>
      <c r="T528" s="4">
        <f>Table4[[#This Row],[avg_viewers_per_stream]] / Table4[[#This Row],[total_followers]]</f>
        <v>3.1850467289719624E-2</v>
      </c>
    </row>
    <row r="529" spans="1:20">
      <c r="A529">
        <v>529</v>
      </c>
      <c r="B529" t="s">
        <v>726</v>
      </c>
      <c r="C529" t="s">
        <v>63</v>
      </c>
      <c r="D529" t="s">
        <v>39</v>
      </c>
      <c r="E529" t="s">
        <v>51</v>
      </c>
      <c r="F529" t="s">
        <v>40</v>
      </c>
      <c r="G529" s="3">
        <v>5.7</v>
      </c>
      <c r="H529">
        <v>3290</v>
      </c>
      <c r="I529">
        <v>8428</v>
      </c>
      <c r="J529">
        <v>1.6</v>
      </c>
      <c r="K529">
        <v>6828</v>
      </c>
      <c r="L529" s="2">
        <v>419000</v>
      </c>
      <c r="M529" s="2">
        <v>10700000</v>
      </c>
      <c r="N529">
        <v>125</v>
      </c>
      <c r="O529">
        <v>3.1</v>
      </c>
      <c r="P529" t="s">
        <v>14</v>
      </c>
      <c r="Q529" t="s">
        <v>14</v>
      </c>
      <c r="R529" s="2">
        <f>Table4[[#This Row],[total_followers]]/(Table4[[#This Row],[total_time_streamed]] / 60)</f>
        <v>3681.8980667838314</v>
      </c>
      <c r="S529" t="str">
        <f>IF(Table4[[#This Row],[avg_games_per_stream]] &gt; 2, "Variety", "Focused")</f>
        <v>Focused</v>
      </c>
      <c r="T529" s="4">
        <f>Table4[[#This Row],[avg_viewers_per_stream]] / Table4[[#This Row],[total_followers]]</f>
        <v>2.0114558472553699E-2</v>
      </c>
    </row>
    <row r="530" spans="1:20">
      <c r="A530">
        <v>530</v>
      </c>
      <c r="B530" t="s">
        <v>727</v>
      </c>
      <c r="C530" t="s">
        <v>61</v>
      </c>
      <c r="D530" t="s">
        <v>39</v>
      </c>
      <c r="E530" t="s">
        <v>104</v>
      </c>
      <c r="F530" t="s">
        <v>145</v>
      </c>
      <c r="G530" s="3">
        <v>2.5</v>
      </c>
      <c r="H530">
        <v>4730</v>
      </c>
      <c r="I530">
        <v>2368</v>
      </c>
      <c r="J530">
        <v>1</v>
      </c>
      <c r="K530">
        <v>4330</v>
      </c>
      <c r="L530" s="2">
        <v>93200</v>
      </c>
      <c r="M530" s="2">
        <v>431000</v>
      </c>
      <c r="N530">
        <v>7</v>
      </c>
      <c r="O530">
        <v>1.5</v>
      </c>
      <c r="P530" t="s">
        <v>15</v>
      </c>
      <c r="Q530" t="s">
        <v>17</v>
      </c>
      <c r="R530" s="2">
        <f>Table4[[#This Row],[total_followers]]/(Table4[[#This Row],[total_time_streamed]] / 60)</f>
        <v>1291.4549653579677</v>
      </c>
      <c r="S530" t="str">
        <f>IF(Table4[[#This Row],[avg_games_per_stream]] &gt; 2, "Variety", "Focused")</f>
        <v>Focused</v>
      </c>
      <c r="T530" s="4">
        <f>Table4[[#This Row],[avg_viewers_per_stream]] / Table4[[#This Row],[total_followers]]</f>
        <v>2.5407725321888411E-2</v>
      </c>
    </row>
    <row r="531" spans="1:20">
      <c r="A531">
        <v>531</v>
      </c>
      <c r="B531" t="s">
        <v>728</v>
      </c>
      <c r="C531" t="s">
        <v>3</v>
      </c>
      <c r="D531" t="s">
        <v>39</v>
      </c>
      <c r="E531" t="s">
        <v>189</v>
      </c>
      <c r="F531" t="s">
        <v>199</v>
      </c>
      <c r="G531" s="3">
        <v>6.7</v>
      </c>
      <c r="H531">
        <v>2400</v>
      </c>
      <c r="I531">
        <v>4383</v>
      </c>
      <c r="J531">
        <v>1.5</v>
      </c>
      <c r="K531">
        <v>17281</v>
      </c>
      <c r="L531" s="2">
        <v>1520000</v>
      </c>
      <c r="M531" s="2">
        <v>264000000</v>
      </c>
      <c r="N531">
        <v>244</v>
      </c>
      <c r="O531">
        <v>6.5</v>
      </c>
      <c r="P531" t="s">
        <v>16</v>
      </c>
      <c r="Q531" t="s">
        <v>20</v>
      </c>
      <c r="R531" s="2">
        <f>Table4[[#This Row],[total_followers]]/(Table4[[#This Row],[total_time_streamed]] / 60)</f>
        <v>5277.4723684971941</v>
      </c>
      <c r="S531" t="str">
        <f>IF(Table4[[#This Row],[avg_games_per_stream]] &gt; 2, "Variety", "Focused")</f>
        <v>Focused</v>
      </c>
      <c r="T531" s="4">
        <f>Table4[[#This Row],[avg_viewers_per_stream]] / Table4[[#This Row],[total_followers]]</f>
        <v>2.8835526315789473E-3</v>
      </c>
    </row>
    <row r="532" spans="1:20">
      <c r="A532">
        <v>532</v>
      </c>
      <c r="B532" t="s">
        <v>729</v>
      </c>
      <c r="C532" t="s">
        <v>3</v>
      </c>
      <c r="D532" t="s">
        <v>39</v>
      </c>
      <c r="E532" t="s">
        <v>74</v>
      </c>
      <c r="F532" t="s">
        <v>12</v>
      </c>
      <c r="G532" s="3">
        <v>5.7</v>
      </c>
      <c r="H532">
        <v>3860</v>
      </c>
      <c r="I532">
        <v>2032</v>
      </c>
      <c r="J532">
        <v>1</v>
      </c>
      <c r="K532">
        <v>7639</v>
      </c>
      <c r="L532" s="2">
        <v>544000</v>
      </c>
      <c r="M532" s="2">
        <v>2860000</v>
      </c>
      <c r="N532">
        <v>3</v>
      </c>
      <c r="O532">
        <v>4.7</v>
      </c>
      <c r="P532" t="s">
        <v>15</v>
      </c>
      <c r="Q532" t="s">
        <v>14</v>
      </c>
      <c r="R532" s="2">
        <f>Table4[[#This Row],[total_followers]]/(Table4[[#This Row],[total_time_streamed]] / 60)</f>
        <v>4272.8105773006937</v>
      </c>
      <c r="S532" t="str">
        <f>IF(Table4[[#This Row],[avg_games_per_stream]] &gt; 2, "Variety", "Focused")</f>
        <v>Focused</v>
      </c>
      <c r="T532" s="4">
        <f>Table4[[#This Row],[avg_viewers_per_stream]] / Table4[[#This Row],[total_followers]]</f>
        <v>3.7352941176470589E-3</v>
      </c>
    </row>
    <row r="533" spans="1:20">
      <c r="A533">
        <v>533</v>
      </c>
      <c r="B533" t="s">
        <v>730</v>
      </c>
      <c r="C533" t="s">
        <v>63</v>
      </c>
      <c r="D533" t="s">
        <v>39</v>
      </c>
      <c r="E533" t="s">
        <v>595</v>
      </c>
      <c r="G533" s="3">
        <v>7.9</v>
      </c>
      <c r="H533">
        <v>30</v>
      </c>
      <c r="I533">
        <v>0</v>
      </c>
      <c r="J533">
        <v>1</v>
      </c>
      <c r="K533">
        <v>160</v>
      </c>
      <c r="L533" s="2">
        <v>3</v>
      </c>
      <c r="M533" s="2">
        <v>0</v>
      </c>
      <c r="N533">
        <v>1</v>
      </c>
      <c r="O533">
        <v>0.4</v>
      </c>
      <c r="P533" t="s">
        <v>19</v>
      </c>
      <c r="Q533" t="s">
        <v>20</v>
      </c>
      <c r="R533" s="2">
        <f>Table4[[#This Row],[total_followers]]/(Table4[[#This Row],[total_time_streamed]] / 60)</f>
        <v>1.125</v>
      </c>
      <c r="S533" t="str">
        <f>IF(Table4[[#This Row],[avg_games_per_stream]] &gt; 2, "Variety", "Focused")</f>
        <v>Focused</v>
      </c>
      <c r="T533" s="4">
        <f>Table4[[#This Row],[avg_viewers_per_stream]] / Table4[[#This Row],[total_followers]]</f>
        <v>0</v>
      </c>
    </row>
    <row r="534" spans="1:20">
      <c r="A534">
        <v>534</v>
      </c>
      <c r="B534" t="s">
        <v>731</v>
      </c>
      <c r="C534" t="s">
        <v>63</v>
      </c>
      <c r="D534" t="s">
        <v>39</v>
      </c>
      <c r="E534" t="s">
        <v>595</v>
      </c>
      <c r="G534" s="3">
        <v>5.4</v>
      </c>
      <c r="H534">
        <v>110</v>
      </c>
      <c r="I534">
        <v>0</v>
      </c>
      <c r="J534">
        <v>1</v>
      </c>
      <c r="K534">
        <v>110</v>
      </c>
      <c r="L534" s="2">
        <v>22</v>
      </c>
      <c r="M534" s="2">
        <v>0</v>
      </c>
      <c r="N534">
        <v>1</v>
      </c>
      <c r="O534">
        <v>0.5</v>
      </c>
      <c r="P534" t="s">
        <v>15</v>
      </c>
      <c r="Q534" t="s">
        <v>14</v>
      </c>
      <c r="R534" s="2">
        <f>Table4[[#This Row],[total_followers]]/(Table4[[#This Row],[total_time_streamed]] / 60)</f>
        <v>12</v>
      </c>
      <c r="S534" t="str">
        <f>IF(Table4[[#This Row],[avg_games_per_stream]] &gt; 2, "Variety", "Focused")</f>
        <v>Focused</v>
      </c>
      <c r="T534" s="4">
        <f>Table4[[#This Row],[avg_viewers_per_stream]] / Table4[[#This Row],[total_followers]]</f>
        <v>0</v>
      </c>
    </row>
    <row r="535" spans="1:20">
      <c r="A535">
        <v>535</v>
      </c>
      <c r="B535" t="s">
        <v>732</v>
      </c>
      <c r="C535" t="s">
        <v>5</v>
      </c>
      <c r="D535" t="s">
        <v>39</v>
      </c>
      <c r="E535" t="s">
        <v>93</v>
      </c>
      <c r="G535" s="3">
        <v>4.9000000000000004</v>
      </c>
      <c r="H535">
        <v>1015</v>
      </c>
      <c r="I535">
        <v>0</v>
      </c>
      <c r="J535">
        <v>1</v>
      </c>
      <c r="K535">
        <v>2470</v>
      </c>
      <c r="L535" s="2">
        <v>49900</v>
      </c>
      <c r="M535" s="2">
        <v>0</v>
      </c>
      <c r="N535">
        <v>1</v>
      </c>
      <c r="O535">
        <v>0.8</v>
      </c>
      <c r="P535" t="s">
        <v>14</v>
      </c>
      <c r="Q535" t="s">
        <v>16</v>
      </c>
      <c r="R535" s="2">
        <f>Table4[[#This Row],[total_followers]]/(Table4[[#This Row],[total_time_streamed]] / 60)</f>
        <v>1212.1457489878544</v>
      </c>
      <c r="S535" t="str">
        <f>IF(Table4[[#This Row],[avg_games_per_stream]] &gt; 2, "Variety", "Focused")</f>
        <v>Focused</v>
      </c>
      <c r="T535" s="4">
        <f>Table4[[#This Row],[avg_viewers_per_stream]] / Table4[[#This Row],[total_followers]]</f>
        <v>0</v>
      </c>
    </row>
    <row r="536" spans="1:20">
      <c r="A536">
        <v>536</v>
      </c>
      <c r="B536" t="s">
        <v>733</v>
      </c>
      <c r="C536" t="s">
        <v>3</v>
      </c>
      <c r="D536" t="s">
        <v>39</v>
      </c>
      <c r="E536" t="s">
        <v>85</v>
      </c>
      <c r="G536" s="3">
        <v>7.1</v>
      </c>
      <c r="H536">
        <v>1960</v>
      </c>
      <c r="I536">
        <v>0</v>
      </c>
      <c r="J536">
        <v>1</v>
      </c>
      <c r="K536">
        <v>140</v>
      </c>
      <c r="L536" s="2">
        <v>1300</v>
      </c>
      <c r="M536" s="2">
        <v>0</v>
      </c>
      <c r="N536">
        <v>1</v>
      </c>
      <c r="O536">
        <v>0.5</v>
      </c>
      <c r="P536" t="s">
        <v>16</v>
      </c>
      <c r="Q536" t="s">
        <v>16</v>
      </c>
      <c r="R536" s="2">
        <f>Table4[[#This Row],[total_followers]]/(Table4[[#This Row],[total_time_streamed]] / 60)</f>
        <v>557.14285714285711</v>
      </c>
      <c r="S536" t="str">
        <f>IF(Table4[[#This Row],[avg_games_per_stream]] &gt; 2, "Variety", "Focused")</f>
        <v>Focused</v>
      </c>
      <c r="T536" s="4">
        <f>Table4[[#This Row],[avg_viewers_per_stream]] / Table4[[#This Row],[total_followers]]</f>
        <v>0</v>
      </c>
    </row>
    <row r="537" spans="1:20">
      <c r="A537">
        <v>537</v>
      </c>
      <c r="B537" t="s">
        <v>734</v>
      </c>
      <c r="C537" t="s">
        <v>5</v>
      </c>
      <c r="D537" t="s">
        <v>39</v>
      </c>
      <c r="E537" t="s">
        <v>109</v>
      </c>
      <c r="F537" t="s">
        <v>68</v>
      </c>
      <c r="G537" s="3">
        <v>8</v>
      </c>
      <c r="H537">
        <v>3820</v>
      </c>
      <c r="I537">
        <v>1489</v>
      </c>
      <c r="J537">
        <v>1.5</v>
      </c>
      <c r="K537">
        <v>10217</v>
      </c>
      <c r="L537" s="2">
        <v>501000</v>
      </c>
      <c r="M537" s="2">
        <v>1950000</v>
      </c>
      <c r="N537">
        <v>89</v>
      </c>
      <c r="O537">
        <v>6.1</v>
      </c>
      <c r="P537" t="s">
        <v>18</v>
      </c>
      <c r="Q537" t="s">
        <v>14</v>
      </c>
      <c r="R537" s="2">
        <f>Table4[[#This Row],[total_followers]]/(Table4[[#This Row],[total_time_streamed]] / 60)</f>
        <v>2942.1552314769501</v>
      </c>
      <c r="S537" t="str">
        <f>IF(Table4[[#This Row],[avg_games_per_stream]] &gt; 2, "Variety", "Focused")</f>
        <v>Focused</v>
      </c>
      <c r="T537" s="4">
        <f>Table4[[#This Row],[avg_viewers_per_stream]] / Table4[[#This Row],[total_followers]]</f>
        <v>2.9720558882235528E-3</v>
      </c>
    </row>
    <row r="538" spans="1:20">
      <c r="A538">
        <v>538</v>
      </c>
      <c r="B538" t="s">
        <v>735</v>
      </c>
      <c r="C538" t="s">
        <v>6</v>
      </c>
      <c r="D538" t="s">
        <v>58</v>
      </c>
      <c r="E538" t="s">
        <v>46</v>
      </c>
      <c r="F538" t="s">
        <v>123</v>
      </c>
      <c r="G538" s="3">
        <v>4.5999999999999996</v>
      </c>
      <c r="H538">
        <v>1033</v>
      </c>
      <c r="I538">
        <v>125947</v>
      </c>
      <c r="J538">
        <v>1</v>
      </c>
      <c r="K538">
        <v>6151</v>
      </c>
      <c r="L538" s="2">
        <v>1620000</v>
      </c>
      <c r="M538" s="2">
        <v>233000000</v>
      </c>
      <c r="N538">
        <v>5</v>
      </c>
      <c r="O538">
        <v>3.4</v>
      </c>
      <c r="P538" t="s">
        <v>15</v>
      </c>
      <c r="Q538" t="s">
        <v>15</v>
      </c>
      <c r="R538" s="2">
        <f>Table4[[#This Row],[total_followers]]/(Table4[[#This Row],[total_time_streamed]] / 60)</f>
        <v>15802.308567712567</v>
      </c>
      <c r="S538" t="str">
        <f>IF(Table4[[#This Row],[avg_games_per_stream]] &gt; 2, "Variety", "Focused")</f>
        <v>Focused</v>
      </c>
      <c r="T538" s="4">
        <f>Table4[[#This Row],[avg_viewers_per_stream]] / Table4[[#This Row],[total_followers]]</f>
        <v>7.7745061728395057E-2</v>
      </c>
    </row>
    <row r="539" spans="1:20">
      <c r="A539">
        <v>539</v>
      </c>
      <c r="B539" t="s">
        <v>736</v>
      </c>
      <c r="C539" t="s">
        <v>63</v>
      </c>
      <c r="D539" t="s">
        <v>39</v>
      </c>
      <c r="E539" t="s">
        <v>595</v>
      </c>
      <c r="G539" s="3">
        <v>12.6</v>
      </c>
      <c r="H539">
        <v>110</v>
      </c>
      <c r="I539">
        <v>0</v>
      </c>
      <c r="J539">
        <v>1</v>
      </c>
      <c r="K539">
        <v>250</v>
      </c>
      <c r="L539" s="2">
        <v>11</v>
      </c>
      <c r="M539" s="2">
        <v>0</v>
      </c>
      <c r="N539">
        <v>1</v>
      </c>
      <c r="O539">
        <v>0.4</v>
      </c>
      <c r="P539" t="s">
        <v>20</v>
      </c>
      <c r="Q539" t="s">
        <v>18</v>
      </c>
      <c r="R539" s="2">
        <f>Table4[[#This Row],[total_followers]]/(Table4[[#This Row],[total_time_streamed]] / 60)</f>
        <v>2.6399999999999997</v>
      </c>
      <c r="S539" t="str">
        <f>IF(Table4[[#This Row],[avg_games_per_stream]] &gt; 2, "Variety", "Focused")</f>
        <v>Focused</v>
      </c>
      <c r="T539" s="4">
        <f>Table4[[#This Row],[avg_viewers_per_stream]] / Table4[[#This Row],[total_followers]]</f>
        <v>0</v>
      </c>
    </row>
    <row r="540" spans="1:20">
      <c r="A540">
        <v>540</v>
      </c>
      <c r="B540" t="s">
        <v>737</v>
      </c>
      <c r="C540" t="s">
        <v>667</v>
      </c>
      <c r="D540" t="s">
        <v>39</v>
      </c>
      <c r="E540" t="s">
        <v>66</v>
      </c>
      <c r="F540" t="s">
        <v>738</v>
      </c>
      <c r="G540" s="3">
        <v>4.3</v>
      </c>
      <c r="H540">
        <v>5090</v>
      </c>
      <c r="I540">
        <v>11742</v>
      </c>
      <c r="J540">
        <v>1</v>
      </c>
      <c r="K540">
        <v>3929</v>
      </c>
      <c r="L540" s="2">
        <v>480000</v>
      </c>
      <c r="M540" s="2">
        <v>11000000</v>
      </c>
      <c r="N540">
        <v>16</v>
      </c>
      <c r="O540">
        <v>5.4</v>
      </c>
      <c r="P540" t="s">
        <v>15</v>
      </c>
      <c r="Q540" t="s">
        <v>16</v>
      </c>
      <c r="R540" s="2">
        <f>Table4[[#This Row],[total_followers]]/(Table4[[#This Row],[total_time_streamed]] / 60)</f>
        <v>7330.1094426062609</v>
      </c>
      <c r="S540" t="str">
        <f>IF(Table4[[#This Row],[avg_games_per_stream]] &gt; 2, "Variety", "Focused")</f>
        <v>Focused</v>
      </c>
      <c r="T540" s="4">
        <f>Table4[[#This Row],[avg_viewers_per_stream]] / Table4[[#This Row],[total_followers]]</f>
        <v>2.4462500000000002E-2</v>
      </c>
    </row>
    <row r="541" spans="1:20">
      <c r="A541">
        <v>541</v>
      </c>
      <c r="B541" t="s">
        <v>739</v>
      </c>
      <c r="C541" t="s">
        <v>63</v>
      </c>
      <c r="D541" t="s">
        <v>39</v>
      </c>
      <c r="E541" t="s">
        <v>98</v>
      </c>
      <c r="G541" s="3">
        <v>6.4</v>
      </c>
      <c r="H541">
        <v>20</v>
      </c>
      <c r="I541">
        <v>0</v>
      </c>
      <c r="J541">
        <v>1</v>
      </c>
      <c r="K541">
        <v>130</v>
      </c>
      <c r="L541" s="2">
        <v>2</v>
      </c>
      <c r="M541" s="2">
        <v>0</v>
      </c>
      <c r="N541">
        <v>1</v>
      </c>
      <c r="O541">
        <v>0.7</v>
      </c>
      <c r="P541" t="s">
        <v>17</v>
      </c>
      <c r="Q541" t="s">
        <v>17</v>
      </c>
      <c r="R541" s="2">
        <f>Table4[[#This Row],[total_followers]]/(Table4[[#This Row],[total_time_streamed]] / 60)</f>
        <v>0.92307692307692313</v>
      </c>
      <c r="S541" t="str">
        <f>IF(Table4[[#This Row],[avg_games_per_stream]] &gt; 2, "Variety", "Focused")</f>
        <v>Focused</v>
      </c>
      <c r="T541" s="4">
        <f>Table4[[#This Row],[avg_viewers_per_stream]] / Table4[[#This Row],[total_followers]]</f>
        <v>0</v>
      </c>
    </row>
    <row r="542" spans="1:20">
      <c r="A542">
        <v>542</v>
      </c>
      <c r="B542" t="s">
        <v>740</v>
      </c>
      <c r="C542" t="s">
        <v>6</v>
      </c>
      <c r="D542" t="s">
        <v>39</v>
      </c>
      <c r="E542" t="s">
        <v>85</v>
      </c>
      <c r="G542" s="3">
        <v>19.2</v>
      </c>
      <c r="H542">
        <v>580</v>
      </c>
      <c r="I542">
        <v>0</v>
      </c>
      <c r="J542">
        <v>1</v>
      </c>
      <c r="K542">
        <v>1540</v>
      </c>
      <c r="L542" s="2">
        <v>1700</v>
      </c>
      <c r="M542" s="2">
        <v>0</v>
      </c>
      <c r="N542">
        <v>1</v>
      </c>
      <c r="O542">
        <v>4</v>
      </c>
      <c r="P542" t="s">
        <v>16</v>
      </c>
      <c r="Q542" t="s">
        <v>14</v>
      </c>
      <c r="R542" s="2">
        <f>Table4[[#This Row],[total_followers]]/(Table4[[#This Row],[total_time_streamed]] / 60)</f>
        <v>66.233766233766232</v>
      </c>
      <c r="S542" t="str">
        <f>IF(Table4[[#This Row],[avg_games_per_stream]] &gt; 2, "Variety", "Focused")</f>
        <v>Focused</v>
      </c>
      <c r="T542" s="4">
        <f>Table4[[#This Row],[avg_viewers_per_stream]] / Table4[[#This Row],[total_followers]]</f>
        <v>0</v>
      </c>
    </row>
    <row r="543" spans="1:20">
      <c r="A543">
        <v>543</v>
      </c>
      <c r="B543" t="s">
        <v>741</v>
      </c>
      <c r="C543" t="s">
        <v>5</v>
      </c>
      <c r="D543" t="s">
        <v>39</v>
      </c>
      <c r="E543" t="s">
        <v>54</v>
      </c>
      <c r="F543" t="s">
        <v>96</v>
      </c>
      <c r="G543" s="3">
        <v>7.1</v>
      </c>
      <c r="H543">
        <v>2090</v>
      </c>
      <c r="I543">
        <v>0</v>
      </c>
      <c r="J543">
        <v>1.1000000000000001</v>
      </c>
      <c r="K543">
        <v>3236</v>
      </c>
      <c r="L543" s="2">
        <v>109000</v>
      </c>
      <c r="M543" s="2">
        <v>5900</v>
      </c>
      <c r="N543">
        <v>23</v>
      </c>
      <c r="O543">
        <v>4.2</v>
      </c>
      <c r="P543" t="s">
        <v>18</v>
      </c>
      <c r="Q543" t="s">
        <v>14</v>
      </c>
      <c r="R543" s="2">
        <f>Table4[[#This Row],[total_followers]]/(Table4[[#This Row],[total_time_streamed]] / 60)</f>
        <v>2021.0135970333747</v>
      </c>
      <c r="S543" t="str">
        <f>IF(Table4[[#This Row],[avg_games_per_stream]] &gt; 2, "Variety", "Focused")</f>
        <v>Focused</v>
      </c>
      <c r="T543" s="4">
        <f>Table4[[#This Row],[avg_viewers_per_stream]] / Table4[[#This Row],[total_followers]]</f>
        <v>0</v>
      </c>
    </row>
    <row r="544" spans="1:20">
      <c r="A544">
        <v>544</v>
      </c>
      <c r="B544" t="s">
        <v>742</v>
      </c>
      <c r="C544" t="s">
        <v>7</v>
      </c>
      <c r="D544" t="s">
        <v>58</v>
      </c>
      <c r="E544" t="s">
        <v>46</v>
      </c>
      <c r="F544" t="s">
        <v>123</v>
      </c>
      <c r="G544" s="3">
        <v>8.1999999999999993</v>
      </c>
      <c r="H544">
        <v>4860</v>
      </c>
      <c r="I544">
        <v>103086</v>
      </c>
      <c r="J544">
        <v>1</v>
      </c>
      <c r="K544">
        <v>14787</v>
      </c>
      <c r="L544" s="2">
        <v>1100000</v>
      </c>
      <c r="M544" s="2">
        <v>241000000</v>
      </c>
      <c r="N544">
        <v>10</v>
      </c>
      <c r="O544">
        <v>4.5999999999999996</v>
      </c>
      <c r="P544" t="s">
        <v>15</v>
      </c>
      <c r="Q544" t="s">
        <v>15</v>
      </c>
      <c r="R544" s="2">
        <f>Table4[[#This Row],[total_followers]]/(Table4[[#This Row],[total_time_streamed]] / 60)</f>
        <v>4463.3799959423823</v>
      </c>
      <c r="S544" t="str">
        <f>IF(Table4[[#This Row],[avg_games_per_stream]] &gt; 2, "Variety", "Focused")</f>
        <v>Focused</v>
      </c>
      <c r="T544" s="4">
        <f>Table4[[#This Row],[avg_viewers_per_stream]] / Table4[[#This Row],[total_followers]]</f>
        <v>9.3714545454545453E-2</v>
      </c>
    </row>
    <row r="545" spans="1:20">
      <c r="A545">
        <v>545</v>
      </c>
      <c r="B545" t="s">
        <v>743</v>
      </c>
      <c r="C545" t="s">
        <v>744</v>
      </c>
      <c r="D545" t="s">
        <v>39</v>
      </c>
      <c r="E545" t="s">
        <v>40</v>
      </c>
      <c r="F545" t="s">
        <v>74</v>
      </c>
      <c r="G545" s="3">
        <v>4.5999999999999996</v>
      </c>
      <c r="H545">
        <v>7570</v>
      </c>
      <c r="I545">
        <v>0</v>
      </c>
      <c r="J545">
        <v>1.7</v>
      </c>
      <c r="K545">
        <v>1337</v>
      </c>
      <c r="L545" s="2">
        <v>229000</v>
      </c>
      <c r="M545" s="2">
        <v>0</v>
      </c>
      <c r="N545">
        <v>54</v>
      </c>
      <c r="O545">
        <v>4.2</v>
      </c>
      <c r="P545" t="s">
        <v>15</v>
      </c>
      <c r="Q545" t="s">
        <v>17</v>
      </c>
      <c r="R545" s="2">
        <f>Table4[[#This Row],[total_followers]]/(Table4[[#This Row],[total_time_streamed]] / 60)</f>
        <v>10276.738967838444</v>
      </c>
      <c r="S545" t="str">
        <f>IF(Table4[[#This Row],[avg_games_per_stream]] &gt; 2, "Variety", "Focused")</f>
        <v>Focused</v>
      </c>
      <c r="T545" s="4">
        <f>Table4[[#This Row],[avg_viewers_per_stream]] / Table4[[#This Row],[total_followers]]</f>
        <v>0</v>
      </c>
    </row>
    <row r="546" spans="1:20">
      <c r="A546">
        <v>546</v>
      </c>
      <c r="B546" t="s">
        <v>745</v>
      </c>
      <c r="C546" t="s">
        <v>7</v>
      </c>
      <c r="D546" t="s">
        <v>39</v>
      </c>
      <c r="E546" t="s">
        <v>88</v>
      </c>
      <c r="F546" t="s">
        <v>271</v>
      </c>
      <c r="G546" s="3">
        <v>5.3</v>
      </c>
      <c r="H546">
        <v>122</v>
      </c>
      <c r="I546">
        <v>20</v>
      </c>
      <c r="J546">
        <v>1.6</v>
      </c>
      <c r="K546">
        <v>104</v>
      </c>
      <c r="L546" s="2">
        <v>221000</v>
      </c>
      <c r="M546" s="2">
        <v>364</v>
      </c>
      <c r="N546">
        <v>13</v>
      </c>
      <c r="O546">
        <v>0.7</v>
      </c>
      <c r="P546" t="s">
        <v>20</v>
      </c>
      <c r="Q546" t="s">
        <v>20</v>
      </c>
      <c r="R546" s="2">
        <f>Table4[[#This Row],[total_followers]]/(Table4[[#This Row],[total_time_streamed]] / 60)</f>
        <v>127500</v>
      </c>
      <c r="S546" t="str">
        <f>IF(Table4[[#This Row],[avg_games_per_stream]] &gt; 2, "Variety", "Focused")</f>
        <v>Focused</v>
      </c>
      <c r="T546" s="4">
        <f>Table4[[#This Row],[avg_viewers_per_stream]] / Table4[[#This Row],[total_followers]]</f>
        <v>9.0497737556561084E-5</v>
      </c>
    </row>
    <row r="547" spans="1:20">
      <c r="A547">
        <v>547</v>
      </c>
      <c r="B547" t="s">
        <v>746</v>
      </c>
      <c r="C547" t="s">
        <v>3</v>
      </c>
      <c r="D547" t="s">
        <v>39</v>
      </c>
      <c r="E547" t="s">
        <v>46</v>
      </c>
      <c r="F547" t="s">
        <v>41</v>
      </c>
      <c r="G547" s="3">
        <v>4.8</v>
      </c>
      <c r="H547">
        <v>8980</v>
      </c>
      <c r="I547">
        <v>42965</v>
      </c>
      <c r="J547">
        <v>1</v>
      </c>
      <c r="K547">
        <v>6627</v>
      </c>
      <c r="L547" s="2">
        <v>1310000</v>
      </c>
      <c r="M547" s="2">
        <v>61700000</v>
      </c>
      <c r="N547">
        <v>28</v>
      </c>
      <c r="O547">
        <v>3.5</v>
      </c>
      <c r="P547" t="s">
        <v>17</v>
      </c>
      <c r="Q547" t="s">
        <v>14</v>
      </c>
      <c r="R547" s="2">
        <f>Table4[[#This Row],[total_followers]]/(Table4[[#This Row],[total_time_streamed]] / 60)</f>
        <v>11860.570393843367</v>
      </c>
      <c r="S547" t="str">
        <f>IF(Table4[[#This Row],[avg_games_per_stream]] &gt; 2, "Variety", "Focused")</f>
        <v>Focused</v>
      </c>
      <c r="T547" s="4">
        <f>Table4[[#This Row],[avg_viewers_per_stream]] / Table4[[#This Row],[total_followers]]</f>
        <v>3.2797709923664119E-2</v>
      </c>
    </row>
    <row r="548" spans="1:20">
      <c r="A548">
        <v>548</v>
      </c>
      <c r="B548" t="s">
        <v>747</v>
      </c>
      <c r="C548" t="s">
        <v>63</v>
      </c>
      <c r="D548" t="s">
        <v>39</v>
      </c>
      <c r="E548" t="s">
        <v>40</v>
      </c>
      <c r="F548" t="s">
        <v>150</v>
      </c>
      <c r="G548" s="3">
        <v>7.2</v>
      </c>
      <c r="H548">
        <v>1420</v>
      </c>
      <c r="I548">
        <v>3893</v>
      </c>
      <c r="J548">
        <v>2.2000000000000002</v>
      </c>
      <c r="K548">
        <v>20276</v>
      </c>
      <c r="L548" s="2">
        <v>492000</v>
      </c>
      <c r="M548" s="2">
        <v>122000000</v>
      </c>
      <c r="N548">
        <v>1414</v>
      </c>
      <c r="O548">
        <v>5.4</v>
      </c>
      <c r="P548" t="s">
        <v>20</v>
      </c>
      <c r="Q548" t="s">
        <v>16</v>
      </c>
      <c r="R548" s="2">
        <f>Table4[[#This Row],[total_followers]]/(Table4[[#This Row],[total_time_streamed]] / 60)</f>
        <v>1455.9084632077333</v>
      </c>
      <c r="S548" t="str">
        <f>IF(Table4[[#This Row],[avg_games_per_stream]] &gt; 2, "Variety", "Focused")</f>
        <v>Variety</v>
      </c>
      <c r="T548" s="4">
        <f>Table4[[#This Row],[avg_viewers_per_stream]] / Table4[[#This Row],[total_followers]]</f>
        <v>7.9126016260162597E-3</v>
      </c>
    </row>
    <row r="549" spans="1:20">
      <c r="A549">
        <v>549</v>
      </c>
      <c r="B549" t="s">
        <v>748</v>
      </c>
      <c r="C549" t="s">
        <v>3</v>
      </c>
      <c r="D549" t="s">
        <v>39</v>
      </c>
      <c r="E549" t="s">
        <v>544</v>
      </c>
      <c r="F549" t="s">
        <v>56</v>
      </c>
      <c r="G549" s="3">
        <v>4.0999999999999996</v>
      </c>
      <c r="H549">
        <v>1360</v>
      </c>
      <c r="I549">
        <v>1800</v>
      </c>
      <c r="J549">
        <v>1.6</v>
      </c>
      <c r="K549">
        <v>7009</v>
      </c>
      <c r="L549" s="2">
        <v>200000</v>
      </c>
      <c r="M549" s="2">
        <v>266000</v>
      </c>
      <c r="N549">
        <v>245</v>
      </c>
      <c r="O549">
        <v>5.3</v>
      </c>
      <c r="P549" t="s">
        <v>17</v>
      </c>
      <c r="Q549" t="s">
        <v>19</v>
      </c>
      <c r="R549" s="2">
        <f>Table4[[#This Row],[total_followers]]/(Table4[[#This Row],[total_time_streamed]] / 60)</f>
        <v>1712.0844628334999</v>
      </c>
      <c r="S549" t="str">
        <f>IF(Table4[[#This Row],[avg_games_per_stream]] &gt; 2, "Variety", "Focused")</f>
        <v>Focused</v>
      </c>
      <c r="T549" s="4">
        <f>Table4[[#This Row],[avg_viewers_per_stream]] / Table4[[#This Row],[total_followers]]</f>
        <v>8.9999999999999993E-3</v>
      </c>
    </row>
    <row r="550" spans="1:20">
      <c r="A550">
        <v>550</v>
      </c>
      <c r="B550" t="s">
        <v>749</v>
      </c>
      <c r="C550" t="s">
        <v>63</v>
      </c>
      <c r="D550" t="s">
        <v>39</v>
      </c>
      <c r="E550" t="s">
        <v>40</v>
      </c>
      <c r="F550" t="s">
        <v>64</v>
      </c>
      <c r="G550" s="3">
        <v>2.1</v>
      </c>
      <c r="H550">
        <v>7232</v>
      </c>
      <c r="I550">
        <v>35995</v>
      </c>
      <c r="J550">
        <v>1.6</v>
      </c>
      <c r="K550">
        <v>7250</v>
      </c>
      <c r="L550" s="2">
        <v>2590000</v>
      </c>
      <c r="M550" s="2">
        <v>12900000</v>
      </c>
      <c r="N550">
        <v>24</v>
      </c>
      <c r="O550">
        <v>2.2000000000000002</v>
      </c>
      <c r="P550" t="s">
        <v>16</v>
      </c>
      <c r="Q550" t="s">
        <v>16</v>
      </c>
      <c r="R550" s="2">
        <f>Table4[[#This Row],[total_followers]]/(Table4[[#This Row],[total_time_streamed]] / 60)</f>
        <v>21434.482758620692</v>
      </c>
      <c r="S550" t="str">
        <f>IF(Table4[[#This Row],[avg_games_per_stream]] &gt; 2, "Variety", "Focused")</f>
        <v>Focused</v>
      </c>
      <c r="T550" s="4">
        <f>Table4[[#This Row],[avg_viewers_per_stream]] / Table4[[#This Row],[total_followers]]</f>
        <v>1.3897683397683398E-2</v>
      </c>
    </row>
    <row r="551" spans="1:20">
      <c r="A551">
        <v>551</v>
      </c>
      <c r="B551" t="s">
        <v>750</v>
      </c>
      <c r="C551" t="s">
        <v>3</v>
      </c>
      <c r="D551" t="s">
        <v>39</v>
      </c>
      <c r="E551" t="s">
        <v>296</v>
      </c>
      <c r="F551" t="s">
        <v>199</v>
      </c>
      <c r="G551" s="3">
        <v>4</v>
      </c>
      <c r="H551">
        <v>1350</v>
      </c>
      <c r="I551">
        <v>8283</v>
      </c>
      <c r="J551">
        <v>1.2</v>
      </c>
      <c r="K551">
        <v>10328</v>
      </c>
      <c r="L551" s="2">
        <v>431000</v>
      </c>
      <c r="M551" s="2">
        <v>28600000</v>
      </c>
      <c r="N551">
        <v>594</v>
      </c>
      <c r="O551">
        <v>6.5</v>
      </c>
      <c r="P551" t="s">
        <v>19</v>
      </c>
      <c r="Q551" t="s">
        <v>15</v>
      </c>
      <c r="R551" s="2">
        <f>Table4[[#This Row],[total_followers]]/(Table4[[#This Row],[total_time_streamed]] / 60)</f>
        <v>2503.8729666924864</v>
      </c>
      <c r="S551" t="str">
        <f>IF(Table4[[#This Row],[avg_games_per_stream]] &gt; 2, "Variety", "Focused")</f>
        <v>Focused</v>
      </c>
      <c r="T551" s="4">
        <f>Table4[[#This Row],[avg_viewers_per_stream]] / Table4[[#This Row],[total_followers]]</f>
        <v>1.9218097447795825E-2</v>
      </c>
    </row>
    <row r="552" spans="1:20">
      <c r="A552">
        <v>552</v>
      </c>
      <c r="B552" t="s">
        <v>751</v>
      </c>
      <c r="C552" t="s">
        <v>5</v>
      </c>
      <c r="D552" t="s">
        <v>39</v>
      </c>
      <c r="E552" t="s">
        <v>68</v>
      </c>
      <c r="F552" t="s">
        <v>54</v>
      </c>
      <c r="G552" s="3">
        <v>5.5</v>
      </c>
      <c r="H552">
        <v>1490</v>
      </c>
      <c r="I552">
        <v>2358</v>
      </c>
      <c r="J552">
        <v>1.1000000000000001</v>
      </c>
      <c r="K552">
        <v>5002</v>
      </c>
      <c r="L552" s="2">
        <v>188000</v>
      </c>
      <c r="M552" s="2">
        <v>2970000</v>
      </c>
      <c r="N552">
        <v>31</v>
      </c>
      <c r="O552">
        <v>3.9</v>
      </c>
      <c r="P552" t="s">
        <v>20</v>
      </c>
      <c r="Q552" t="s">
        <v>14</v>
      </c>
      <c r="R552" s="2">
        <f>Table4[[#This Row],[total_followers]]/(Table4[[#This Row],[total_time_streamed]] / 60)</f>
        <v>2255.097960815674</v>
      </c>
      <c r="S552" t="str">
        <f>IF(Table4[[#This Row],[avg_games_per_stream]] &gt; 2, "Variety", "Focused")</f>
        <v>Focused</v>
      </c>
      <c r="T552" s="4">
        <f>Table4[[#This Row],[avg_viewers_per_stream]] / Table4[[#This Row],[total_followers]]</f>
        <v>1.2542553191489362E-2</v>
      </c>
    </row>
    <row r="553" spans="1:20">
      <c r="A553">
        <v>553</v>
      </c>
      <c r="B553" t="s">
        <v>752</v>
      </c>
      <c r="C553" t="s">
        <v>7</v>
      </c>
      <c r="D553" t="s">
        <v>39</v>
      </c>
      <c r="E553" t="s">
        <v>40</v>
      </c>
      <c r="F553" t="s">
        <v>51</v>
      </c>
      <c r="G553" s="3">
        <v>1.4</v>
      </c>
      <c r="H553">
        <v>1193</v>
      </c>
      <c r="I553">
        <v>30</v>
      </c>
      <c r="J553">
        <v>1.3</v>
      </c>
      <c r="K553">
        <v>3210</v>
      </c>
      <c r="L553" s="2">
        <v>254000</v>
      </c>
      <c r="M553" s="2">
        <v>714</v>
      </c>
      <c r="N553">
        <v>34</v>
      </c>
      <c r="O553">
        <v>1.7</v>
      </c>
      <c r="P553" t="s">
        <v>20</v>
      </c>
      <c r="Q553" t="s">
        <v>18</v>
      </c>
      <c r="R553" s="2">
        <f>Table4[[#This Row],[total_followers]]/(Table4[[#This Row],[total_time_streamed]] / 60)</f>
        <v>4747.663551401869</v>
      </c>
      <c r="S553" t="str">
        <f>IF(Table4[[#This Row],[avg_games_per_stream]] &gt; 2, "Variety", "Focused")</f>
        <v>Focused</v>
      </c>
      <c r="T553" s="4">
        <f>Table4[[#This Row],[avg_viewers_per_stream]] / Table4[[#This Row],[total_followers]]</f>
        <v>1.1811023622047244E-4</v>
      </c>
    </row>
    <row r="554" spans="1:20">
      <c r="A554">
        <v>554</v>
      </c>
      <c r="B554" t="s">
        <v>753</v>
      </c>
      <c r="C554" t="s">
        <v>3</v>
      </c>
      <c r="D554" t="s">
        <v>39</v>
      </c>
      <c r="E554" t="s">
        <v>88</v>
      </c>
      <c r="F554" t="s">
        <v>319</v>
      </c>
      <c r="G554" s="3">
        <v>8</v>
      </c>
      <c r="H554">
        <v>4630</v>
      </c>
      <c r="I554">
        <v>22913</v>
      </c>
      <c r="J554">
        <v>1.2</v>
      </c>
      <c r="K554">
        <v>15647</v>
      </c>
      <c r="L554" s="2">
        <v>1030000</v>
      </c>
      <c r="M554" s="2">
        <v>49400000</v>
      </c>
      <c r="N554">
        <v>43</v>
      </c>
      <c r="O554">
        <v>5</v>
      </c>
      <c r="P554" t="s">
        <v>17</v>
      </c>
      <c r="Q554" t="s">
        <v>18</v>
      </c>
      <c r="R554" s="2">
        <f>Table4[[#This Row],[total_followers]]/(Table4[[#This Row],[total_time_streamed]] / 60)</f>
        <v>3949.6389084169487</v>
      </c>
      <c r="S554" t="str">
        <f>IF(Table4[[#This Row],[avg_games_per_stream]] &gt; 2, "Variety", "Focused")</f>
        <v>Focused</v>
      </c>
      <c r="T554" s="4">
        <f>Table4[[#This Row],[avg_viewers_per_stream]] / Table4[[#This Row],[total_followers]]</f>
        <v>2.2245631067961166E-2</v>
      </c>
    </row>
    <row r="555" spans="1:20">
      <c r="A555">
        <v>555</v>
      </c>
      <c r="B555" t="s">
        <v>754</v>
      </c>
      <c r="C555" t="s">
        <v>3</v>
      </c>
      <c r="D555" t="s">
        <v>39</v>
      </c>
      <c r="E555" t="s">
        <v>98</v>
      </c>
      <c r="G555" s="3">
        <v>3.4</v>
      </c>
      <c r="H555">
        <v>2870</v>
      </c>
      <c r="I555">
        <v>0</v>
      </c>
      <c r="J555">
        <v>1</v>
      </c>
      <c r="K555">
        <v>70</v>
      </c>
      <c r="L555" s="2">
        <v>1300</v>
      </c>
      <c r="M555" s="2">
        <v>0</v>
      </c>
      <c r="N555">
        <v>1</v>
      </c>
      <c r="O555">
        <v>0.5</v>
      </c>
      <c r="P555" t="s">
        <v>16</v>
      </c>
      <c r="Q555" t="s">
        <v>14</v>
      </c>
      <c r="R555" s="2">
        <f>Table4[[#This Row],[total_followers]]/(Table4[[#This Row],[total_time_streamed]] / 60)</f>
        <v>1114.2857142857142</v>
      </c>
      <c r="S555" t="str">
        <f>IF(Table4[[#This Row],[avg_games_per_stream]] &gt; 2, "Variety", "Focused")</f>
        <v>Focused</v>
      </c>
      <c r="T555" s="4">
        <f>Table4[[#This Row],[avg_viewers_per_stream]] / Table4[[#This Row],[total_followers]]</f>
        <v>0</v>
      </c>
    </row>
    <row r="556" spans="1:20">
      <c r="A556">
        <v>556</v>
      </c>
      <c r="B556" t="s">
        <v>755</v>
      </c>
      <c r="C556" t="s">
        <v>3</v>
      </c>
      <c r="D556" t="s">
        <v>39</v>
      </c>
      <c r="E556" t="s">
        <v>104</v>
      </c>
      <c r="F556" t="s">
        <v>40</v>
      </c>
      <c r="G556" s="3">
        <v>2.4</v>
      </c>
      <c r="H556">
        <v>5390</v>
      </c>
      <c r="I556">
        <v>7050</v>
      </c>
      <c r="J556">
        <v>1.1000000000000001</v>
      </c>
      <c r="K556">
        <v>5850</v>
      </c>
      <c r="L556" s="2">
        <v>148000</v>
      </c>
      <c r="M556" s="2">
        <v>218000</v>
      </c>
      <c r="N556">
        <v>31</v>
      </c>
      <c r="O556">
        <v>0.6</v>
      </c>
      <c r="P556" t="s">
        <v>15</v>
      </c>
      <c r="Q556" t="s">
        <v>14</v>
      </c>
      <c r="R556" s="2">
        <f>Table4[[#This Row],[total_followers]]/(Table4[[#This Row],[total_time_streamed]] / 60)</f>
        <v>1517.948717948718</v>
      </c>
      <c r="S556" t="str">
        <f>IF(Table4[[#This Row],[avg_games_per_stream]] &gt; 2, "Variety", "Focused")</f>
        <v>Focused</v>
      </c>
      <c r="T556" s="4">
        <f>Table4[[#This Row],[avg_viewers_per_stream]] / Table4[[#This Row],[total_followers]]</f>
        <v>4.7635135135135134E-2</v>
      </c>
    </row>
    <row r="557" spans="1:20">
      <c r="A557">
        <v>557</v>
      </c>
      <c r="B557" t="s">
        <v>756</v>
      </c>
      <c r="C557" t="s">
        <v>5</v>
      </c>
      <c r="D557" t="s">
        <v>39</v>
      </c>
      <c r="E557" t="s">
        <v>68</v>
      </c>
      <c r="F557" t="s">
        <v>46</v>
      </c>
      <c r="G557" s="3">
        <v>6.2</v>
      </c>
      <c r="H557">
        <v>3630</v>
      </c>
      <c r="I557">
        <v>2600</v>
      </c>
      <c r="J557">
        <v>1.2</v>
      </c>
      <c r="K557">
        <v>4069</v>
      </c>
      <c r="L557" s="2">
        <v>278000</v>
      </c>
      <c r="M557" s="2">
        <v>200000</v>
      </c>
      <c r="N557">
        <v>37</v>
      </c>
      <c r="O557">
        <v>2.2999999999999998</v>
      </c>
      <c r="P557" t="s">
        <v>18</v>
      </c>
      <c r="Q557" t="s">
        <v>15</v>
      </c>
      <c r="R557" s="2">
        <f>Table4[[#This Row],[total_followers]]/(Table4[[#This Row],[total_time_streamed]] / 60)</f>
        <v>4099.2872941754731</v>
      </c>
      <c r="S557" t="str">
        <f>IF(Table4[[#This Row],[avg_games_per_stream]] &gt; 2, "Variety", "Focused")</f>
        <v>Focused</v>
      </c>
      <c r="T557" s="4">
        <f>Table4[[#This Row],[avg_viewers_per_stream]] / Table4[[#This Row],[total_followers]]</f>
        <v>9.3525179856115102E-3</v>
      </c>
    </row>
    <row r="558" spans="1:20">
      <c r="A558">
        <v>558</v>
      </c>
      <c r="B558" t="s">
        <v>757</v>
      </c>
      <c r="C558" t="s">
        <v>160</v>
      </c>
      <c r="D558" t="s">
        <v>39</v>
      </c>
      <c r="E558" t="s">
        <v>46</v>
      </c>
      <c r="F558" t="s">
        <v>123</v>
      </c>
      <c r="G558" s="3">
        <v>5.8</v>
      </c>
      <c r="H558">
        <v>1690</v>
      </c>
      <c r="I558">
        <v>25593</v>
      </c>
      <c r="J558">
        <v>1.2</v>
      </c>
      <c r="K558">
        <v>12059</v>
      </c>
      <c r="L558" s="2">
        <v>621000</v>
      </c>
      <c r="M558" s="2">
        <v>85400000</v>
      </c>
      <c r="N558">
        <v>62</v>
      </c>
      <c r="O558">
        <v>5.2</v>
      </c>
      <c r="P558" t="s">
        <v>20</v>
      </c>
      <c r="Q558" t="s">
        <v>14</v>
      </c>
      <c r="R558" s="2">
        <f>Table4[[#This Row],[total_followers]]/(Table4[[#This Row],[total_time_streamed]] / 60)</f>
        <v>3089.8084418276808</v>
      </c>
      <c r="S558" t="str">
        <f>IF(Table4[[#This Row],[avg_games_per_stream]] &gt; 2, "Variety", "Focused")</f>
        <v>Focused</v>
      </c>
      <c r="T558" s="4">
        <f>Table4[[#This Row],[avg_viewers_per_stream]] / Table4[[#This Row],[total_followers]]</f>
        <v>4.1212560386473432E-2</v>
      </c>
    </row>
    <row r="559" spans="1:20">
      <c r="A559">
        <v>559</v>
      </c>
      <c r="B559" t="s">
        <v>758</v>
      </c>
      <c r="C559" t="s">
        <v>3</v>
      </c>
      <c r="D559" t="s">
        <v>58</v>
      </c>
      <c r="E559" t="s">
        <v>759</v>
      </c>
      <c r="F559" t="s">
        <v>760</v>
      </c>
      <c r="G559" s="3">
        <v>1.6</v>
      </c>
      <c r="H559">
        <v>3910</v>
      </c>
      <c r="I559">
        <v>14111</v>
      </c>
      <c r="J559">
        <v>1</v>
      </c>
      <c r="K559">
        <v>2009</v>
      </c>
      <c r="L559" s="2">
        <v>683000</v>
      </c>
      <c r="M559" s="2">
        <v>24200000</v>
      </c>
      <c r="N559">
        <v>9</v>
      </c>
      <c r="O559">
        <v>3.2</v>
      </c>
      <c r="P559" t="s">
        <v>20</v>
      </c>
      <c r="Q559" t="s">
        <v>15</v>
      </c>
      <c r="R559" s="2">
        <f>Table4[[#This Row],[total_followers]]/(Table4[[#This Row],[total_time_streamed]] / 60)</f>
        <v>20398.208063713289</v>
      </c>
      <c r="S559" t="str">
        <f>IF(Table4[[#This Row],[avg_games_per_stream]] &gt; 2, "Variety", "Focused")</f>
        <v>Focused</v>
      </c>
      <c r="T559" s="4">
        <f>Table4[[#This Row],[avg_viewers_per_stream]] / Table4[[#This Row],[total_followers]]</f>
        <v>2.0660322108345536E-2</v>
      </c>
    </row>
    <row r="560" spans="1:20">
      <c r="A560">
        <v>560</v>
      </c>
      <c r="B560" t="s">
        <v>761</v>
      </c>
      <c r="C560" t="s">
        <v>61</v>
      </c>
      <c r="D560" t="s">
        <v>39</v>
      </c>
      <c r="E560" t="s">
        <v>54</v>
      </c>
      <c r="F560" t="s">
        <v>582</v>
      </c>
      <c r="G560" s="3">
        <v>6.5</v>
      </c>
      <c r="H560">
        <v>2040</v>
      </c>
      <c r="I560">
        <v>8570</v>
      </c>
      <c r="J560">
        <v>1.2</v>
      </c>
      <c r="K560">
        <v>8708</v>
      </c>
      <c r="L560" s="2">
        <v>274000</v>
      </c>
      <c r="M560" s="2">
        <v>1150000</v>
      </c>
      <c r="N560">
        <v>36</v>
      </c>
      <c r="O560">
        <v>3.8</v>
      </c>
      <c r="P560" t="s">
        <v>20</v>
      </c>
      <c r="Q560" t="s">
        <v>17</v>
      </c>
      <c r="R560" s="2">
        <f>Table4[[#This Row],[total_followers]]/(Table4[[#This Row],[total_time_streamed]] / 60)</f>
        <v>1887.9191548001838</v>
      </c>
      <c r="S560" t="str">
        <f>IF(Table4[[#This Row],[avg_games_per_stream]] &gt; 2, "Variety", "Focused")</f>
        <v>Focused</v>
      </c>
      <c r="T560" s="4">
        <f>Table4[[#This Row],[avg_viewers_per_stream]] / Table4[[#This Row],[total_followers]]</f>
        <v>3.1277372262773724E-2</v>
      </c>
    </row>
    <row r="561" spans="1:20">
      <c r="A561">
        <v>561</v>
      </c>
      <c r="B561" t="s">
        <v>762</v>
      </c>
      <c r="C561" t="s">
        <v>6</v>
      </c>
      <c r="D561" t="s">
        <v>39</v>
      </c>
      <c r="E561" t="s">
        <v>46</v>
      </c>
      <c r="F561" t="s">
        <v>54</v>
      </c>
      <c r="G561" s="3">
        <v>3.9</v>
      </c>
      <c r="H561">
        <v>1523</v>
      </c>
      <c r="I561">
        <v>46333</v>
      </c>
      <c r="J561">
        <v>1.2</v>
      </c>
      <c r="K561">
        <v>2062</v>
      </c>
      <c r="L561" s="2">
        <v>984000</v>
      </c>
      <c r="M561" s="2">
        <v>46400000</v>
      </c>
      <c r="N561">
        <v>27</v>
      </c>
      <c r="O561">
        <v>1.3</v>
      </c>
      <c r="P561" t="s">
        <v>19</v>
      </c>
      <c r="Q561" t="s">
        <v>14</v>
      </c>
      <c r="R561" s="2">
        <f>Table4[[#This Row],[total_followers]]/(Table4[[#This Row],[total_time_streamed]] / 60)</f>
        <v>28632.395732298737</v>
      </c>
      <c r="S561" t="str">
        <f>IF(Table4[[#This Row],[avg_games_per_stream]] &gt; 2, "Variety", "Focused")</f>
        <v>Focused</v>
      </c>
      <c r="T561" s="4">
        <f>Table4[[#This Row],[avg_viewers_per_stream]] / Table4[[#This Row],[total_followers]]</f>
        <v>4.7086382113821136E-2</v>
      </c>
    </row>
    <row r="562" spans="1:20">
      <c r="A562">
        <v>562</v>
      </c>
      <c r="B562" t="s">
        <v>763</v>
      </c>
      <c r="C562" t="s">
        <v>3</v>
      </c>
      <c r="D562" t="s">
        <v>39</v>
      </c>
      <c r="E562" t="s">
        <v>64</v>
      </c>
      <c r="F562" t="s">
        <v>74</v>
      </c>
      <c r="G562" s="3">
        <v>8</v>
      </c>
      <c r="H562">
        <v>1220</v>
      </c>
      <c r="I562">
        <v>21392</v>
      </c>
      <c r="J562">
        <v>1.4</v>
      </c>
      <c r="K562">
        <v>20043</v>
      </c>
      <c r="L562" s="2">
        <v>644000</v>
      </c>
      <c r="M562" s="2">
        <v>101000000</v>
      </c>
      <c r="N562">
        <v>528</v>
      </c>
      <c r="O562">
        <v>6.4</v>
      </c>
      <c r="P562" t="s">
        <v>18</v>
      </c>
      <c r="Q562" t="s">
        <v>16</v>
      </c>
      <c r="R562" s="2">
        <f>Table4[[#This Row],[total_followers]]/(Table4[[#This Row],[total_time_streamed]] / 60)</f>
        <v>1927.855111510253</v>
      </c>
      <c r="S562" t="str">
        <f>IF(Table4[[#This Row],[avg_games_per_stream]] &gt; 2, "Variety", "Focused")</f>
        <v>Focused</v>
      </c>
      <c r="T562" s="4">
        <f>Table4[[#This Row],[avg_viewers_per_stream]] / Table4[[#This Row],[total_followers]]</f>
        <v>3.3217391304347824E-2</v>
      </c>
    </row>
    <row r="563" spans="1:20">
      <c r="A563">
        <v>563</v>
      </c>
      <c r="B563" t="s">
        <v>764</v>
      </c>
      <c r="C563" t="s">
        <v>5</v>
      </c>
      <c r="D563" t="s">
        <v>39</v>
      </c>
      <c r="E563" t="s">
        <v>68</v>
      </c>
      <c r="F563" t="s">
        <v>765</v>
      </c>
      <c r="G563" s="3">
        <v>3.3</v>
      </c>
      <c r="H563">
        <v>1028</v>
      </c>
      <c r="I563">
        <v>13533</v>
      </c>
      <c r="J563">
        <v>1.3</v>
      </c>
      <c r="K563">
        <v>8110</v>
      </c>
      <c r="L563" s="2">
        <v>240000</v>
      </c>
      <c r="M563" s="2">
        <v>3190000</v>
      </c>
      <c r="N563">
        <v>34</v>
      </c>
      <c r="O563">
        <v>1.3</v>
      </c>
      <c r="P563" t="s">
        <v>15</v>
      </c>
      <c r="Q563" t="s">
        <v>14</v>
      </c>
      <c r="R563" s="2">
        <f>Table4[[#This Row],[total_followers]]/(Table4[[#This Row],[total_time_streamed]] / 60)</f>
        <v>1775.585696670777</v>
      </c>
      <c r="S563" t="str">
        <f>IF(Table4[[#This Row],[avg_games_per_stream]] &gt; 2, "Variety", "Focused")</f>
        <v>Focused</v>
      </c>
      <c r="T563" s="4">
        <f>Table4[[#This Row],[avg_viewers_per_stream]] / Table4[[#This Row],[total_followers]]</f>
        <v>5.63875E-2</v>
      </c>
    </row>
    <row r="564" spans="1:20">
      <c r="A564">
        <v>564</v>
      </c>
      <c r="B564" t="s">
        <v>766</v>
      </c>
      <c r="C564" t="s">
        <v>3</v>
      </c>
      <c r="D564" t="s">
        <v>39</v>
      </c>
      <c r="E564" t="s">
        <v>51</v>
      </c>
      <c r="F564" t="s">
        <v>83</v>
      </c>
      <c r="G564" s="3">
        <v>3</v>
      </c>
      <c r="H564">
        <v>4200</v>
      </c>
      <c r="I564">
        <v>3467</v>
      </c>
      <c r="J564">
        <v>1</v>
      </c>
      <c r="K564">
        <v>2006</v>
      </c>
      <c r="L564" s="2">
        <v>307000</v>
      </c>
      <c r="M564" s="2">
        <v>2430000</v>
      </c>
      <c r="N564">
        <v>70</v>
      </c>
      <c r="O564">
        <v>3</v>
      </c>
      <c r="P564" t="s">
        <v>16</v>
      </c>
      <c r="Q564" t="s">
        <v>14</v>
      </c>
      <c r="R564" s="2">
        <f>Table4[[#This Row],[total_followers]]/(Table4[[#This Row],[total_time_streamed]] / 60)</f>
        <v>9182.4526420737802</v>
      </c>
      <c r="S564" t="str">
        <f>IF(Table4[[#This Row],[avg_games_per_stream]] &gt; 2, "Variety", "Focused")</f>
        <v>Focused</v>
      </c>
      <c r="T564" s="4">
        <f>Table4[[#This Row],[avg_viewers_per_stream]] / Table4[[#This Row],[total_followers]]</f>
        <v>1.1293159609120522E-2</v>
      </c>
    </row>
    <row r="565" spans="1:20">
      <c r="A565">
        <v>565</v>
      </c>
      <c r="B565" t="s">
        <v>767</v>
      </c>
      <c r="C565" t="s">
        <v>3</v>
      </c>
      <c r="D565" t="s">
        <v>39</v>
      </c>
      <c r="E565" t="s">
        <v>40</v>
      </c>
      <c r="F565" t="s">
        <v>66</v>
      </c>
      <c r="G565" s="3">
        <v>7.4</v>
      </c>
      <c r="H565">
        <v>7170</v>
      </c>
      <c r="I565">
        <v>10187</v>
      </c>
      <c r="J565">
        <v>1.8</v>
      </c>
      <c r="K565">
        <v>5029</v>
      </c>
      <c r="L565" s="2">
        <v>451000</v>
      </c>
      <c r="M565" s="2">
        <v>6410000</v>
      </c>
      <c r="N565">
        <v>51</v>
      </c>
      <c r="O565">
        <v>2.7</v>
      </c>
      <c r="P565" t="s">
        <v>19</v>
      </c>
      <c r="Q565" t="s">
        <v>19</v>
      </c>
      <c r="R565" s="2">
        <f>Table4[[#This Row],[total_followers]]/(Table4[[#This Row],[total_time_streamed]] / 60)</f>
        <v>5380.7914098230267</v>
      </c>
      <c r="S565" t="str">
        <f>IF(Table4[[#This Row],[avg_games_per_stream]] &gt; 2, "Variety", "Focused")</f>
        <v>Focused</v>
      </c>
      <c r="T565" s="4">
        <f>Table4[[#This Row],[avg_viewers_per_stream]] / Table4[[#This Row],[total_followers]]</f>
        <v>2.2587583148558757E-2</v>
      </c>
    </row>
    <row r="566" spans="1:20">
      <c r="A566">
        <v>566</v>
      </c>
      <c r="B566" t="s">
        <v>768</v>
      </c>
      <c r="C566" t="s">
        <v>7</v>
      </c>
      <c r="D566" t="s">
        <v>39</v>
      </c>
      <c r="E566" t="s">
        <v>220</v>
      </c>
      <c r="F566" t="s">
        <v>40</v>
      </c>
      <c r="G566" s="3">
        <v>2.2999999999999998</v>
      </c>
      <c r="H566">
        <v>7380</v>
      </c>
      <c r="I566">
        <v>13913</v>
      </c>
      <c r="J566">
        <v>1</v>
      </c>
      <c r="K566">
        <v>8130</v>
      </c>
      <c r="L566" s="2">
        <v>203000</v>
      </c>
      <c r="M566" s="2">
        <v>3830000</v>
      </c>
      <c r="N566">
        <v>4</v>
      </c>
      <c r="O566">
        <v>1.2</v>
      </c>
      <c r="P566" t="s">
        <v>15</v>
      </c>
      <c r="Q566" t="s">
        <v>15</v>
      </c>
      <c r="R566" s="2">
        <f>Table4[[#This Row],[total_followers]]/(Table4[[#This Row],[total_time_streamed]] / 60)</f>
        <v>1498.1549815498156</v>
      </c>
      <c r="S566" t="str">
        <f>IF(Table4[[#This Row],[avg_games_per_stream]] &gt; 2, "Variety", "Focused")</f>
        <v>Focused</v>
      </c>
      <c r="T566" s="4">
        <f>Table4[[#This Row],[avg_viewers_per_stream]] / Table4[[#This Row],[total_followers]]</f>
        <v>6.8536945812807878E-2</v>
      </c>
    </row>
    <row r="567" spans="1:20">
      <c r="A567">
        <v>567</v>
      </c>
      <c r="B567" t="s">
        <v>769</v>
      </c>
      <c r="C567" t="s">
        <v>7</v>
      </c>
      <c r="D567" t="s">
        <v>39</v>
      </c>
      <c r="E567" t="s">
        <v>40</v>
      </c>
      <c r="F567" t="s">
        <v>12</v>
      </c>
      <c r="G567" s="3">
        <v>2.5</v>
      </c>
      <c r="H567">
        <v>2132</v>
      </c>
      <c r="I567">
        <v>0</v>
      </c>
      <c r="J567">
        <v>1</v>
      </c>
      <c r="K567">
        <v>280</v>
      </c>
      <c r="L567" s="2">
        <v>26700</v>
      </c>
      <c r="M567" s="2">
        <v>0</v>
      </c>
      <c r="N567">
        <v>2</v>
      </c>
      <c r="O567">
        <v>4.0999999999999996</v>
      </c>
      <c r="P567" t="s">
        <v>19</v>
      </c>
      <c r="Q567" t="s">
        <v>19</v>
      </c>
      <c r="R567" s="2">
        <f>Table4[[#This Row],[total_followers]]/(Table4[[#This Row],[total_time_streamed]] / 60)</f>
        <v>5721.4285714285706</v>
      </c>
      <c r="S567" t="str">
        <f>IF(Table4[[#This Row],[avg_games_per_stream]] &gt; 2, "Variety", "Focused")</f>
        <v>Focused</v>
      </c>
      <c r="T567" s="4">
        <f>Table4[[#This Row],[avg_viewers_per_stream]] / Table4[[#This Row],[total_followers]]</f>
        <v>0</v>
      </c>
    </row>
    <row r="568" spans="1:20">
      <c r="A568">
        <v>568</v>
      </c>
      <c r="B568" t="s">
        <v>770</v>
      </c>
      <c r="C568" t="s">
        <v>2</v>
      </c>
      <c r="D568" t="s">
        <v>39</v>
      </c>
      <c r="E568" t="s">
        <v>40</v>
      </c>
      <c r="F568" t="s">
        <v>12</v>
      </c>
      <c r="G568" s="3">
        <v>6.1</v>
      </c>
      <c r="H568">
        <v>980</v>
      </c>
      <c r="I568">
        <v>36245</v>
      </c>
      <c r="J568">
        <v>1.2</v>
      </c>
      <c r="K568">
        <v>12495</v>
      </c>
      <c r="L568" s="2">
        <v>452000</v>
      </c>
      <c r="M568" s="2">
        <v>122000000</v>
      </c>
      <c r="N568">
        <v>508</v>
      </c>
      <c r="O568">
        <v>5.2</v>
      </c>
      <c r="P568" t="s">
        <v>15</v>
      </c>
      <c r="Q568" t="s">
        <v>20</v>
      </c>
      <c r="R568" s="2">
        <f>Table4[[#This Row],[total_followers]]/(Table4[[#This Row],[total_time_streamed]] / 60)</f>
        <v>2170.4681872749102</v>
      </c>
      <c r="S568" t="str">
        <f>IF(Table4[[#This Row],[avg_games_per_stream]] &gt; 2, "Variety", "Focused")</f>
        <v>Focused</v>
      </c>
      <c r="T568" s="4">
        <f>Table4[[#This Row],[avg_viewers_per_stream]] / Table4[[#This Row],[total_followers]]</f>
        <v>8.0188053097345127E-2</v>
      </c>
    </row>
    <row r="569" spans="1:20">
      <c r="A569">
        <v>569</v>
      </c>
      <c r="B569" t="s">
        <v>771</v>
      </c>
      <c r="C569" t="s">
        <v>3</v>
      </c>
      <c r="D569" t="s">
        <v>39</v>
      </c>
      <c r="E569" t="s">
        <v>40</v>
      </c>
      <c r="F569" t="s">
        <v>54</v>
      </c>
      <c r="G569" s="3">
        <v>3.1</v>
      </c>
      <c r="H569">
        <v>1359</v>
      </c>
      <c r="I569">
        <v>2792</v>
      </c>
      <c r="J569">
        <v>1.6</v>
      </c>
      <c r="K569">
        <v>3612</v>
      </c>
      <c r="L569" s="2">
        <v>1600000</v>
      </c>
      <c r="M569" s="2">
        <v>3280000</v>
      </c>
      <c r="N569">
        <v>361</v>
      </c>
      <c r="O569">
        <v>6</v>
      </c>
      <c r="P569" t="s">
        <v>20</v>
      </c>
      <c r="Q569" t="s">
        <v>14</v>
      </c>
      <c r="R569" s="2">
        <f>Table4[[#This Row],[total_followers]]/(Table4[[#This Row],[total_time_streamed]] / 60)</f>
        <v>26578.073089700996</v>
      </c>
      <c r="S569" t="str">
        <f>IF(Table4[[#This Row],[avg_games_per_stream]] &gt; 2, "Variety", "Focused")</f>
        <v>Focused</v>
      </c>
      <c r="T569" s="4">
        <f>Table4[[#This Row],[avg_viewers_per_stream]] / Table4[[#This Row],[total_followers]]</f>
        <v>1.745E-3</v>
      </c>
    </row>
    <row r="570" spans="1:20">
      <c r="A570">
        <v>570</v>
      </c>
      <c r="B570" t="s">
        <v>772</v>
      </c>
      <c r="C570" t="s">
        <v>63</v>
      </c>
      <c r="D570" t="s">
        <v>39</v>
      </c>
      <c r="E570" t="s">
        <v>595</v>
      </c>
      <c r="G570" s="3">
        <v>3.4</v>
      </c>
      <c r="H570">
        <v>0</v>
      </c>
      <c r="I570">
        <v>0</v>
      </c>
      <c r="J570">
        <v>1</v>
      </c>
      <c r="K570">
        <v>70</v>
      </c>
      <c r="L570" s="2">
        <v>0</v>
      </c>
      <c r="M570" s="2">
        <v>0</v>
      </c>
      <c r="N570">
        <v>1</v>
      </c>
      <c r="O570">
        <v>0.5</v>
      </c>
      <c r="P570" t="s">
        <v>18</v>
      </c>
      <c r="Q570" t="s">
        <v>16</v>
      </c>
      <c r="R570" s="2">
        <f>Table4[[#This Row],[total_followers]]/(Table4[[#This Row],[total_time_streamed]] / 60)</f>
        <v>0</v>
      </c>
      <c r="S570" t="str">
        <f>IF(Table4[[#This Row],[avg_games_per_stream]] &gt; 2, "Variety", "Focused")</f>
        <v>Focused</v>
      </c>
      <c r="T570" s="4" t="e">
        <f>Table4[[#This Row],[avg_viewers_per_stream]] / Table4[[#This Row],[total_followers]]</f>
        <v>#DIV/0!</v>
      </c>
    </row>
    <row r="571" spans="1:20">
      <c r="A571">
        <v>571</v>
      </c>
      <c r="B571" t="s">
        <v>773</v>
      </c>
      <c r="C571" t="s">
        <v>3</v>
      </c>
      <c r="D571" t="s">
        <v>39</v>
      </c>
      <c r="E571" t="s">
        <v>145</v>
      </c>
      <c r="F571" t="s">
        <v>157</v>
      </c>
      <c r="G571" s="3">
        <v>4.9000000000000004</v>
      </c>
      <c r="H571">
        <v>2180</v>
      </c>
      <c r="I571">
        <v>2873</v>
      </c>
      <c r="J571">
        <v>1.2</v>
      </c>
      <c r="K571">
        <v>7158</v>
      </c>
      <c r="L571" s="2">
        <v>374000</v>
      </c>
      <c r="M571" s="2">
        <v>4200000</v>
      </c>
      <c r="N571">
        <v>53</v>
      </c>
      <c r="O571">
        <v>3.9</v>
      </c>
      <c r="P571" t="s">
        <v>16</v>
      </c>
      <c r="Q571" t="s">
        <v>15</v>
      </c>
      <c r="R571" s="2">
        <f>Table4[[#This Row],[total_followers]]/(Table4[[#This Row],[total_time_streamed]] / 60)</f>
        <v>3134.9538977367979</v>
      </c>
      <c r="S571" t="str">
        <f>IF(Table4[[#This Row],[avg_games_per_stream]] &gt; 2, "Variety", "Focused")</f>
        <v>Focused</v>
      </c>
      <c r="T571" s="4">
        <f>Table4[[#This Row],[avg_viewers_per_stream]] / Table4[[#This Row],[total_followers]]</f>
        <v>7.681818181818182E-3</v>
      </c>
    </row>
    <row r="572" spans="1:20">
      <c r="A572">
        <v>572</v>
      </c>
      <c r="B572" t="s">
        <v>774</v>
      </c>
      <c r="C572" t="s">
        <v>3</v>
      </c>
      <c r="D572" t="s">
        <v>39</v>
      </c>
      <c r="E572" t="s">
        <v>54</v>
      </c>
      <c r="F572" t="s">
        <v>40</v>
      </c>
      <c r="G572" s="3">
        <v>5</v>
      </c>
      <c r="H572">
        <v>1088</v>
      </c>
      <c r="I572">
        <v>22999</v>
      </c>
      <c r="J572">
        <v>2.2000000000000002</v>
      </c>
      <c r="K572">
        <v>6146</v>
      </c>
      <c r="L572" s="2">
        <v>1150000</v>
      </c>
      <c r="M572" s="2">
        <v>24400000</v>
      </c>
      <c r="N572">
        <v>231</v>
      </c>
      <c r="O572">
        <v>3.5</v>
      </c>
      <c r="P572" t="s">
        <v>18</v>
      </c>
      <c r="Q572" t="s">
        <v>17</v>
      </c>
      <c r="R572" s="2">
        <f>Table4[[#This Row],[total_followers]]/(Table4[[#This Row],[total_time_streamed]] / 60)</f>
        <v>11226.814188089815</v>
      </c>
      <c r="S572" t="str">
        <f>IF(Table4[[#This Row],[avg_games_per_stream]] &gt; 2, "Variety", "Focused")</f>
        <v>Variety</v>
      </c>
      <c r="T572" s="4">
        <f>Table4[[#This Row],[avg_viewers_per_stream]] / Table4[[#This Row],[total_followers]]</f>
        <v>1.999913043478261E-2</v>
      </c>
    </row>
    <row r="573" spans="1:20">
      <c r="A573">
        <v>573</v>
      </c>
      <c r="B573" t="s">
        <v>775</v>
      </c>
      <c r="C573" t="s">
        <v>5</v>
      </c>
      <c r="D573" t="s">
        <v>39</v>
      </c>
      <c r="E573" t="s">
        <v>66</v>
      </c>
      <c r="F573" t="s">
        <v>233</v>
      </c>
      <c r="G573" s="3">
        <v>6.2</v>
      </c>
      <c r="H573">
        <v>4590</v>
      </c>
      <c r="I573">
        <v>0</v>
      </c>
      <c r="J573">
        <v>1</v>
      </c>
      <c r="K573">
        <v>1009</v>
      </c>
      <c r="L573" s="2">
        <v>76600</v>
      </c>
      <c r="M573" s="2">
        <v>0</v>
      </c>
      <c r="N573">
        <v>3</v>
      </c>
      <c r="O573">
        <v>3.4</v>
      </c>
      <c r="P573" t="s">
        <v>15</v>
      </c>
      <c r="Q573" t="s">
        <v>15</v>
      </c>
      <c r="R573" s="2">
        <f>Table4[[#This Row],[total_followers]]/(Table4[[#This Row],[total_time_streamed]] / 60)</f>
        <v>4555.0049554013876</v>
      </c>
      <c r="S573" t="str">
        <f>IF(Table4[[#This Row],[avg_games_per_stream]] &gt; 2, "Variety", "Focused")</f>
        <v>Focused</v>
      </c>
      <c r="T573" s="4">
        <f>Table4[[#This Row],[avg_viewers_per_stream]] / Table4[[#This Row],[total_followers]]</f>
        <v>0</v>
      </c>
    </row>
    <row r="574" spans="1:20">
      <c r="A574">
        <v>574</v>
      </c>
      <c r="B574" t="s">
        <v>776</v>
      </c>
      <c r="C574" t="s">
        <v>7</v>
      </c>
      <c r="D574" t="s">
        <v>39</v>
      </c>
      <c r="E574" t="s">
        <v>40</v>
      </c>
      <c r="F574" t="s">
        <v>66</v>
      </c>
      <c r="G574" s="3">
        <v>6</v>
      </c>
      <c r="H574">
        <v>2427</v>
      </c>
      <c r="I574">
        <v>24144</v>
      </c>
      <c r="J574">
        <v>3</v>
      </c>
      <c r="K574">
        <v>7456</v>
      </c>
      <c r="L574" s="2">
        <v>2900000</v>
      </c>
      <c r="M574" s="2">
        <v>28900000</v>
      </c>
      <c r="N574">
        <v>439</v>
      </c>
      <c r="O574">
        <v>4.5999999999999996</v>
      </c>
      <c r="P574" t="s">
        <v>16</v>
      </c>
      <c r="Q574" t="s">
        <v>20</v>
      </c>
      <c r="R574" s="2">
        <f>Table4[[#This Row],[total_followers]]/(Table4[[#This Row],[total_time_streamed]] / 60)</f>
        <v>23336.909871244636</v>
      </c>
      <c r="S574" t="str">
        <f>IF(Table4[[#This Row],[avg_games_per_stream]] &gt; 2, "Variety", "Focused")</f>
        <v>Variety</v>
      </c>
      <c r="T574" s="4">
        <f>Table4[[#This Row],[avg_viewers_per_stream]] / Table4[[#This Row],[total_followers]]</f>
        <v>8.3255172413793099E-3</v>
      </c>
    </row>
    <row r="575" spans="1:20">
      <c r="A575">
        <v>575</v>
      </c>
      <c r="B575" t="s">
        <v>777</v>
      </c>
      <c r="C575" t="s">
        <v>3</v>
      </c>
      <c r="D575" t="s">
        <v>39</v>
      </c>
      <c r="E575" t="s">
        <v>113</v>
      </c>
      <c r="F575" t="s">
        <v>258</v>
      </c>
      <c r="G575" s="3">
        <v>4.3</v>
      </c>
      <c r="H575">
        <v>480</v>
      </c>
      <c r="I575">
        <v>2070</v>
      </c>
      <c r="J575">
        <v>1</v>
      </c>
      <c r="K575">
        <v>3783</v>
      </c>
      <c r="L575" s="2">
        <v>41000</v>
      </c>
      <c r="M575" s="2">
        <v>179000</v>
      </c>
      <c r="N575">
        <v>14</v>
      </c>
      <c r="O575">
        <v>2.9</v>
      </c>
      <c r="P575" t="s">
        <v>20</v>
      </c>
      <c r="Q575" t="s">
        <v>15</v>
      </c>
      <c r="R575" s="2">
        <f>Table4[[#This Row],[total_followers]]/(Table4[[#This Row],[total_time_streamed]] / 60)</f>
        <v>650.27755749405242</v>
      </c>
      <c r="S575" t="str">
        <f>IF(Table4[[#This Row],[avg_games_per_stream]] &gt; 2, "Variety", "Focused")</f>
        <v>Focused</v>
      </c>
      <c r="T575" s="4">
        <f>Table4[[#This Row],[avg_viewers_per_stream]] / Table4[[#This Row],[total_followers]]</f>
        <v>5.0487804878048784E-2</v>
      </c>
    </row>
    <row r="576" spans="1:20">
      <c r="A576">
        <v>576</v>
      </c>
      <c r="B576" t="s">
        <v>778</v>
      </c>
      <c r="C576" t="s">
        <v>61</v>
      </c>
      <c r="D576" t="s">
        <v>39</v>
      </c>
      <c r="E576" t="s">
        <v>66</v>
      </c>
      <c r="F576" t="s">
        <v>40</v>
      </c>
      <c r="G576" s="3">
        <v>8.1999999999999993</v>
      </c>
      <c r="H576">
        <v>1920</v>
      </c>
      <c r="I576">
        <v>34522</v>
      </c>
      <c r="J576">
        <v>2.4</v>
      </c>
      <c r="K576">
        <v>15639</v>
      </c>
      <c r="L576" s="2">
        <v>423000</v>
      </c>
      <c r="M576" s="2">
        <v>69600000</v>
      </c>
      <c r="N576">
        <v>541</v>
      </c>
      <c r="O576">
        <v>4.9000000000000004</v>
      </c>
      <c r="P576" t="s">
        <v>14</v>
      </c>
      <c r="Q576" t="s">
        <v>18</v>
      </c>
      <c r="R576" s="2">
        <f>Table4[[#This Row],[total_followers]]/(Table4[[#This Row],[total_time_streamed]] / 60)</f>
        <v>1622.8659121427202</v>
      </c>
      <c r="S576" t="str">
        <f>IF(Table4[[#This Row],[avg_games_per_stream]] &gt; 2, "Variety", "Focused")</f>
        <v>Variety</v>
      </c>
      <c r="T576" s="4">
        <f>Table4[[#This Row],[avg_viewers_per_stream]] / Table4[[#This Row],[total_followers]]</f>
        <v>8.1612293144208037E-2</v>
      </c>
    </row>
    <row r="577" spans="1:20">
      <c r="A577">
        <v>577</v>
      </c>
      <c r="B577" t="s">
        <v>779</v>
      </c>
      <c r="C577" t="s">
        <v>2</v>
      </c>
      <c r="D577" t="s">
        <v>39</v>
      </c>
      <c r="E577" t="s">
        <v>66</v>
      </c>
      <c r="F577" t="s">
        <v>40</v>
      </c>
      <c r="G577" s="3">
        <v>6.5</v>
      </c>
      <c r="H577">
        <v>610</v>
      </c>
      <c r="I577">
        <v>9724</v>
      </c>
      <c r="J577">
        <v>1.9</v>
      </c>
      <c r="K577">
        <v>7447</v>
      </c>
      <c r="L577" s="2">
        <v>70900</v>
      </c>
      <c r="M577" s="2">
        <v>11400000</v>
      </c>
      <c r="N577">
        <v>274</v>
      </c>
      <c r="O577">
        <v>3.3</v>
      </c>
      <c r="P577" t="s">
        <v>15</v>
      </c>
      <c r="Q577" t="s">
        <v>14</v>
      </c>
      <c r="R577" s="2">
        <f>Table4[[#This Row],[total_followers]]/(Table4[[#This Row],[total_time_streamed]] / 60)</f>
        <v>571.23673962669534</v>
      </c>
      <c r="S577" t="str">
        <f>IF(Table4[[#This Row],[avg_games_per_stream]] &gt; 2, "Variety", "Focused")</f>
        <v>Focused</v>
      </c>
      <c r="T577" s="4">
        <f>Table4[[#This Row],[avg_viewers_per_stream]] / Table4[[#This Row],[total_followers]]</f>
        <v>0.1371509167842031</v>
      </c>
    </row>
    <row r="578" spans="1:20">
      <c r="A578">
        <v>578</v>
      </c>
      <c r="B578" t="s">
        <v>780</v>
      </c>
      <c r="C578" t="s">
        <v>160</v>
      </c>
      <c r="D578" t="s">
        <v>39</v>
      </c>
      <c r="E578" t="s">
        <v>66</v>
      </c>
      <c r="F578" t="s">
        <v>74</v>
      </c>
      <c r="G578" s="3">
        <v>4.5999999999999996</v>
      </c>
      <c r="H578">
        <v>3680</v>
      </c>
      <c r="I578">
        <v>28381</v>
      </c>
      <c r="J578">
        <v>1.7</v>
      </c>
      <c r="K578">
        <v>11299</v>
      </c>
      <c r="L578" s="2">
        <v>916000</v>
      </c>
      <c r="M578" s="2">
        <v>70700000</v>
      </c>
      <c r="N578">
        <v>153</v>
      </c>
      <c r="O578">
        <v>6.7</v>
      </c>
      <c r="P578" t="s">
        <v>20</v>
      </c>
      <c r="Q578" t="s">
        <v>20</v>
      </c>
      <c r="R578" s="2">
        <f>Table4[[#This Row],[total_followers]]/(Table4[[#This Row],[total_time_streamed]] / 60)</f>
        <v>4864.147269669882</v>
      </c>
      <c r="S578" t="str">
        <f>IF(Table4[[#This Row],[avg_games_per_stream]] &gt; 2, "Variety", "Focused")</f>
        <v>Focused</v>
      </c>
      <c r="T578" s="4">
        <f>Table4[[#This Row],[avg_viewers_per_stream]] / Table4[[#This Row],[total_followers]]</f>
        <v>3.098362445414847E-2</v>
      </c>
    </row>
    <row r="579" spans="1:20">
      <c r="A579">
        <v>579</v>
      </c>
      <c r="B579" t="s">
        <v>781</v>
      </c>
      <c r="C579" t="s">
        <v>7</v>
      </c>
      <c r="D579" t="s">
        <v>58</v>
      </c>
      <c r="E579" t="s">
        <v>54</v>
      </c>
      <c r="F579" t="s">
        <v>12</v>
      </c>
      <c r="G579" s="3">
        <v>5.2</v>
      </c>
      <c r="H579">
        <v>6060</v>
      </c>
      <c r="I579">
        <v>10209</v>
      </c>
      <c r="J579">
        <v>1</v>
      </c>
      <c r="K579">
        <v>3661</v>
      </c>
      <c r="L579" s="2">
        <v>404000</v>
      </c>
      <c r="M579" s="2">
        <v>6800000</v>
      </c>
      <c r="N579">
        <v>2</v>
      </c>
      <c r="O579">
        <v>3.4</v>
      </c>
      <c r="P579" t="s">
        <v>15</v>
      </c>
      <c r="Q579" t="s">
        <v>14</v>
      </c>
      <c r="R579" s="2">
        <f>Table4[[#This Row],[total_followers]]/(Table4[[#This Row],[total_time_streamed]] / 60)</f>
        <v>6621.1417645452066</v>
      </c>
      <c r="S579" t="str">
        <f>IF(Table4[[#This Row],[avg_games_per_stream]] &gt; 2, "Variety", "Focused")</f>
        <v>Focused</v>
      </c>
      <c r="T579" s="4">
        <f>Table4[[#This Row],[avg_viewers_per_stream]] / Table4[[#This Row],[total_followers]]</f>
        <v>2.5269801980198021E-2</v>
      </c>
    </row>
    <row r="580" spans="1:20">
      <c r="A580">
        <v>580</v>
      </c>
      <c r="B580" t="s">
        <v>782</v>
      </c>
      <c r="C580" t="s">
        <v>783</v>
      </c>
      <c r="D580" t="s">
        <v>39</v>
      </c>
      <c r="E580" t="s">
        <v>40</v>
      </c>
      <c r="F580" t="s">
        <v>46</v>
      </c>
      <c r="G580" s="3">
        <v>6</v>
      </c>
      <c r="H580">
        <v>2500</v>
      </c>
      <c r="I580">
        <v>33508</v>
      </c>
      <c r="J580">
        <v>2.2999999999999998</v>
      </c>
      <c r="K580">
        <v>15607</v>
      </c>
      <c r="L580" s="2">
        <v>700000</v>
      </c>
      <c r="M580" s="2">
        <v>88700000</v>
      </c>
      <c r="N580">
        <v>966</v>
      </c>
      <c r="O580">
        <v>6.7</v>
      </c>
      <c r="P580" t="s">
        <v>16</v>
      </c>
      <c r="Q580" t="s">
        <v>18</v>
      </c>
      <c r="R580" s="2">
        <f>Table4[[#This Row],[total_followers]]/(Table4[[#This Row],[total_time_streamed]] / 60)</f>
        <v>2691.1001473697697</v>
      </c>
      <c r="S580" t="str">
        <f>IF(Table4[[#This Row],[avg_games_per_stream]] &gt; 2, "Variety", "Focused")</f>
        <v>Variety</v>
      </c>
      <c r="T580" s="4">
        <f>Table4[[#This Row],[avg_viewers_per_stream]] / Table4[[#This Row],[total_followers]]</f>
        <v>4.7868571428571427E-2</v>
      </c>
    </row>
    <row r="581" spans="1:20">
      <c r="A581">
        <v>581</v>
      </c>
      <c r="B581" t="s">
        <v>784</v>
      </c>
      <c r="C581" t="s">
        <v>3</v>
      </c>
      <c r="D581" t="s">
        <v>39</v>
      </c>
      <c r="E581" t="s">
        <v>46</v>
      </c>
      <c r="F581" t="s">
        <v>40</v>
      </c>
      <c r="G581" s="3">
        <v>3.7</v>
      </c>
      <c r="H581">
        <v>1580</v>
      </c>
      <c r="I581">
        <v>3472</v>
      </c>
      <c r="J581">
        <v>1.2</v>
      </c>
      <c r="K581">
        <v>5605</v>
      </c>
      <c r="L581" s="2">
        <v>262000</v>
      </c>
      <c r="M581" s="2">
        <v>5740000</v>
      </c>
      <c r="N581">
        <v>55</v>
      </c>
      <c r="O581">
        <v>5.0999999999999996</v>
      </c>
      <c r="P581" t="s">
        <v>19</v>
      </c>
      <c r="Q581" t="s">
        <v>14</v>
      </c>
      <c r="R581" s="2">
        <f>Table4[[#This Row],[total_followers]]/(Table4[[#This Row],[total_time_streamed]] / 60)</f>
        <v>2804.6387154326494</v>
      </c>
      <c r="S581" t="str">
        <f>IF(Table4[[#This Row],[avg_games_per_stream]] &gt; 2, "Variety", "Focused")</f>
        <v>Focused</v>
      </c>
      <c r="T581" s="4">
        <f>Table4[[#This Row],[avg_viewers_per_stream]] / Table4[[#This Row],[total_followers]]</f>
        <v>1.3251908396946566E-2</v>
      </c>
    </row>
    <row r="582" spans="1:20">
      <c r="A582">
        <v>582</v>
      </c>
      <c r="B582" t="s">
        <v>785</v>
      </c>
      <c r="C582" t="s">
        <v>5</v>
      </c>
      <c r="D582" t="s">
        <v>39</v>
      </c>
      <c r="E582" t="s">
        <v>66</v>
      </c>
      <c r="F582" t="s">
        <v>54</v>
      </c>
      <c r="G582" s="3">
        <v>5.8</v>
      </c>
      <c r="H582">
        <v>8460</v>
      </c>
      <c r="I582">
        <v>3990</v>
      </c>
      <c r="J582">
        <v>1.3</v>
      </c>
      <c r="K582">
        <v>1599</v>
      </c>
      <c r="L582" s="2">
        <v>256000</v>
      </c>
      <c r="M582" s="2">
        <v>121000</v>
      </c>
      <c r="N582">
        <v>49</v>
      </c>
      <c r="O582">
        <v>1.1000000000000001</v>
      </c>
      <c r="P582" t="s">
        <v>17</v>
      </c>
      <c r="Q582" t="s">
        <v>14</v>
      </c>
      <c r="R582" s="2">
        <f>Table4[[#This Row],[total_followers]]/(Table4[[#This Row],[total_time_streamed]] / 60)</f>
        <v>9606.0037523452156</v>
      </c>
      <c r="S582" t="str">
        <f>IF(Table4[[#This Row],[avg_games_per_stream]] &gt; 2, "Variety", "Focused")</f>
        <v>Focused</v>
      </c>
      <c r="T582" s="4">
        <f>Table4[[#This Row],[avg_viewers_per_stream]] / Table4[[#This Row],[total_followers]]</f>
        <v>1.5585937500000001E-2</v>
      </c>
    </row>
    <row r="583" spans="1:20">
      <c r="A583">
        <v>583</v>
      </c>
      <c r="B583" t="s">
        <v>786</v>
      </c>
      <c r="C583" t="s">
        <v>6</v>
      </c>
      <c r="D583" t="s">
        <v>39</v>
      </c>
      <c r="E583" t="s">
        <v>43</v>
      </c>
      <c r="F583" t="s">
        <v>85</v>
      </c>
      <c r="G583" s="3">
        <v>7.5</v>
      </c>
      <c r="H583">
        <v>1190</v>
      </c>
      <c r="I583">
        <v>4739</v>
      </c>
      <c r="J583">
        <v>1.7</v>
      </c>
      <c r="K583">
        <v>11367</v>
      </c>
      <c r="L583" s="2">
        <v>211000</v>
      </c>
      <c r="M583" s="2">
        <v>8410000</v>
      </c>
      <c r="N583">
        <v>68</v>
      </c>
      <c r="O583">
        <v>5.7</v>
      </c>
      <c r="P583" t="s">
        <v>14</v>
      </c>
      <c r="Q583" t="s">
        <v>18</v>
      </c>
      <c r="R583" s="2">
        <f>Table4[[#This Row],[total_followers]]/(Table4[[#This Row],[total_time_streamed]] / 60)</f>
        <v>1113.750329902349</v>
      </c>
      <c r="S583" t="str">
        <f>IF(Table4[[#This Row],[avg_games_per_stream]] &gt; 2, "Variety", "Focused")</f>
        <v>Focused</v>
      </c>
      <c r="T583" s="4">
        <f>Table4[[#This Row],[avg_viewers_per_stream]] / Table4[[#This Row],[total_followers]]</f>
        <v>2.2459715639810425E-2</v>
      </c>
    </row>
    <row r="584" spans="1:20">
      <c r="A584">
        <v>584</v>
      </c>
      <c r="B584" t="s">
        <v>787</v>
      </c>
      <c r="C584" t="s">
        <v>3</v>
      </c>
      <c r="D584" t="s">
        <v>39</v>
      </c>
      <c r="E584" t="s">
        <v>53</v>
      </c>
      <c r="F584" t="s">
        <v>380</v>
      </c>
      <c r="G584" s="3">
        <v>5.8</v>
      </c>
      <c r="H584">
        <v>3330</v>
      </c>
      <c r="I584">
        <v>27261</v>
      </c>
      <c r="J584">
        <v>1.2</v>
      </c>
      <c r="K584">
        <v>10608</v>
      </c>
      <c r="L584" s="2">
        <v>503000</v>
      </c>
      <c r="M584" s="2">
        <v>41100000</v>
      </c>
      <c r="N584">
        <v>109</v>
      </c>
      <c r="O584">
        <v>4.8</v>
      </c>
      <c r="P584" t="s">
        <v>19</v>
      </c>
      <c r="Q584" t="s">
        <v>17</v>
      </c>
      <c r="R584" s="2">
        <f>Table4[[#This Row],[total_followers]]/(Table4[[#This Row],[total_time_streamed]] / 60)</f>
        <v>2845.0226244343889</v>
      </c>
      <c r="S584" t="str">
        <f>IF(Table4[[#This Row],[avg_games_per_stream]] &gt; 2, "Variety", "Focused")</f>
        <v>Focused</v>
      </c>
      <c r="T584" s="4">
        <f>Table4[[#This Row],[avg_viewers_per_stream]] / Table4[[#This Row],[total_followers]]</f>
        <v>5.4196819085487076E-2</v>
      </c>
    </row>
    <row r="585" spans="1:20">
      <c r="A585">
        <v>585</v>
      </c>
      <c r="B585" t="s">
        <v>788</v>
      </c>
      <c r="C585" t="s">
        <v>3</v>
      </c>
      <c r="D585" t="s">
        <v>39</v>
      </c>
      <c r="E585" t="s">
        <v>54</v>
      </c>
      <c r="F585" t="s">
        <v>70</v>
      </c>
      <c r="G585" s="3">
        <v>3.8</v>
      </c>
      <c r="H585">
        <v>5610</v>
      </c>
      <c r="I585">
        <v>1917</v>
      </c>
      <c r="J585">
        <v>1</v>
      </c>
      <c r="K585">
        <v>1993</v>
      </c>
      <c r="L585" s="2">
        <v>337000</v>
      </c>
      <c r="M585" s="2">
        <v>1150000</v>
      </c>
      <c r="N585">
        <v>4</v>
      </c>
      <c r="O585">
        <v>3</v>
      </c>
      <c r="P585" t="s">
        <v>19</v>
      </c>
      <c r="Q585" t="s">
        <v>14</v>
      </c>
      <c r="R585" s="2">
        <f>Table4[[#This Row],[total_followers]]/(Table4[[#This Row],[total_time_streamed]] / 60)</f>
        <v>10145.509282488711</v>
      </c>
      <c r="S585" t="str">
        <f>IF(Table4[[#This Row],[avg_games_per_stream]] &gt; 2, "Variety", "Focused")</f>
        <v>Focused</v>
      </c>
      <c r="T585" s="4">
        <f>Table4[[#This Row],[avg_viewers_per_stream]] / Table4[[#This Row],[total_followers]]</f>
        <v>5.6884272997032642E-3</v>
      </c>
    </row>
    <row r="586" spans="1:20">
      <c r="A586">
        <v>586</v>
      </c>
      <c r="B586" t="s">
        <v>789</v>
      </c>
      <c r="C586" t="s">
        <v>4</v>
      </c>
      <c r="D586" t="s">
        <v>39</v>
      </c>
      <c r="E586" t="s">
        <v>46</v>
      </c>
      <c r="F586" t="s">
        <v>224</v>
      </c>
      <c r="G586" s="3">
        <v>4.0999999999999996</v>
      </c>
      <c r="H586">
        <v>3480</v>
      </c>
      <c r="I586">
        <v>7162</v>
      </c>
      <c r="J586">
        <v>1.1000000000000001</v>
      </c>
      <c r="K586">
        <v>3407</v>
      </c>
      <c r="L586" s="2">
        <v>326000</v>
      </c>
      <c r="M586" s="2">
        <v>6660000</v>
      </c>
      <c r="N586">
        <v>36</v>
      </c>
      <c r="O586">
        <v>2.2000000000000002</v>
      </c>
      <c r="P586" t="s">
        <v>16</v>
      </c>
      <c r="Q586" t="s">
        <v>14</v>
      </c>
      <c r="R586" s="2">
        <f>Table4[[#This Row],[total_followers]]/(Table4[[#This Row],[total_time_streamed]] / 60)</f>
        <v>5741.1212210155563</v>
      </c>
      <c r="S586" t="str">
        <f>IF(Table4[[#This Row],[avg_games_per_stream]] &gt; 2, "Variety", "Focused")</f>
        <v>Focused</v>
      </c>
      <c r="T586" s="4">
        <f>Table4[[#This Row],[avg_viewers_per_stream]] / Table4[[#This Row],[total_followers]]</f>
        <v>2.1969325153374235E-2</v>
      </c>
    </row>
    <row r="587" spans="1:20">
      <c r="A587">
        <v>587</v>
      </c>
      <c r="B587" t="s">
        <v>790</v>
      </c>
      <c r="C587" t="s">
        <v>160</v>
      </c>
      <c r="D587" t="s">
        <v>39</v>
      </c>
      <c r="E587" t="s">
        <v>40</v>
      </c>
      <c r="F587" t="s">
        <v>56</v>
      </c>
      <c r="G587" s="3">
        <v>6.5</v>
      </c>
      <c r="H587">
        <v>6350</v>
      </c>
      <c r="I587">
        <v>2882</v>
      </c>
      <c r="J587">
        <v>2.4</v>
      </c>
      <c r="K587">
        <v>6138</v>
      </c>
      <c r="L587" s="2">
        <v>598000</v>
      </c>
      <c r="M587" s="2">
        <v>2710000</v>
      </c>
      <c r="N587">
        <v>99</v>
      </c>
      <c r="O587">
        <v>4.5999999999999996</v>
      </c>
      <c r="P587" t="s">
        <v>17</v>
      </c>
      <c r="Q587" t="s">
        <v>17</v>
      </c>
      <c r="R587" s="2">
        <f>Table4[[#This Row],[total_followers]]/(Table4[[#This Row],[total_time_streamed]] / 60)</f>
        <v>5845.5522971652008</v>
      </c>
      <c r="S587" t="str">
        <f>IF(Table4[[#This Row],[avg_games_per_stream]] &gt; 2, "Variety", "Focused")</f>
        <v>Variety</v>
      </c>
      <c r="T587" s="4">
        <f>Table4[[#This Row],[avg_viewers_per_stream]] / Table4[[#This Row],[total_followers]]</f>
        <v>4.8193979933110372E-3</v>
      </c>
    </row>
    <row r="588" spans="1:20">
      <c r="A588">
        <v>588</v>
      </c>
      <c r="B588" t="s">
        <v>791</v>
      </c>
      <c r="C588" t="s">
        <v>3</v>
      </c>
      <c r="D588" t="s">
        <v>39</v>
      </c>
      <c r="E588" t="s">
        <v>66</v>
      </c>
      <c r="F588" t="s">
        <v>792</v>
      </c>
      <c r="G588" s="3">
        <v>7</v>
      </c>
      <c r="H588">
        <v>1650</v>
      </c>
      <c r="I588">
        <v>6495</v>
      </c>
      <c r="J588">
        <v>1.3</v>
      </c>
      <c r="K588">
        <v>12389</v>
      </c>
      <c r="L588" s="2">
        <v>299000</v>
      </c>
      <c r="M588" s="2">
        <v>11800000</v>
      </c>
      <c r="N588">
        <v>114</v>
      </c>
      <c r="O588">
        <v>5.6</v>
      </c>
      <c r="P588" t="s">
        <v>18</v>
      </c>
      <c r="Q588" t="s">
        <v>20</v>
      </c>
      <c r="R588" s="2">
        <f>Table4[[#This Row],[total_followers]]/(Table4[[#This Row],[total_time_streamed]] / 60)</f>
        <v>1448.0587618048269</v>
      </c>
      <c r="S588" t="str">
        <f>IF(Table4[[#This Row],[avg_games_per_stream]] &gt; 2, "Variety", "Focused")</f>
        <v>Focused</v>
      </c>
      <c r="T588" s="4">
        <f>Table4[[#This Row],[avg_viewers_per_stream]] / Table4[[#This Row],[total_followers]]</f>
        <v>2.1722408026755853E-2</v>
      </c>
    </row>
    <row r="589" spans="1:20">
      <c r="A589">
        <v>589</v>
      </c>
      <c r="B589" t="s">
        <v>793</v>
      </c>
      <c r="C589" t="s">
        <v>3</v>
      </c>
      <c r="D589" t="s">
        <v>39</v>
      </c>
      <c r="E589" t="s">
        <v>54</v>
      </c>
      <c r="F589" t="s">
        <v>794</v>
      </c>
      <c r="G589" s="3">
        <v>3.1</v>
      </c>
      <c r="H589">
        <v>4960</v>
      </c>
      <c r="I589">
        <v>3460</v>
      </c>
      <c r="J589">
        <v>1.1000000000000001</v>
      </c>
      <c r="K589">
        <v>2158</v>
      </c>
      <c r="L589" s="2">
        <v>396000</v>
      </c>
      <c r="M589" s="2">
        <v>276000</v>
      </c>
      <c r="N589">
        <v>39</v>
      </c>
      <c r="O589">
        <v>3.2</v>
      </c>
      <c r="P589" t="s">
        <v>14</v>
      </c>
      <c r="Q589" t="s">
        <v>17</v>
      </c>
      <c r="R589" s="2">
        <f>Table4[[#This Row],[total_followers]]/(Table4[[#This Row],[total_time_streamed]] / 60)</f>
        <v>11010.194624652455</v>
      </c>
      <c r="S589" t="str">
        <f>IF(Table4[[#This Row],[avg_games_per_stream]] &gt; 2, "Variety", "Focused")</f>
        <v>Focused</v>
      </c>
      <c r="T589" s="4">
        <f>Table4[[#This Row],[avg_viewers_per_stream]] / Table4[[#This Row],[total_followers]]</f>
        <v>8.7373737373737381E-3</v>
      </c>
    </row>
    <row r="590" spans="1:20">
      <c r="A590">
        <v>590</v>
      </c>
      <c r="B590" t="s">
        <v>795</v>
      </c>
      <c r="C590" t="s">
        <v>63</v>
      </c>
      <c r="D590" t="s">
        <v>39</v>
      </c>
      <c r="E590" t="s">
        <v>595</v>
      </c>
      <c r="G590" s="3">
        <v>5.3</v>
      </c>
      <c r="H590">
        <v>0</v>
      </c>
      <c r="I590">
        <v>0</v>
      </c>
      <c r="J590">
        <v>1</v>
      </c>
      <c r="K590">
        <v>110</v>
      </c>
      <c r="L590" s="2">
        <v>0</v>
      </c>
      <c r="M590" s="2">
        <v>0</v>
      </c>
      <c r="N590">
        <v>1</v>
      </c>
      <c r="O590">
        <v>0.4</v>
      </c>
      <c r="P590" t="s">
        <v>17</v>
      </c>
      <c r="Q590" t="s">
        <v>19</v>
      </c>
      <c r="R590" s="2">
        <f>Table4[[#This Row],[total_followers]]/(Table4[[#This Row],[total_time_streamed]] / 60)</f>
        <v>0</v>
      </c>
      <c r="S590" t="str">
        <f>IF(Table4[[#This Row],[avg_games_per_stream]] &gt; 2, "Variety", "Focused")</f>
        <v>Focused</v>
      </c>
      <c r="T590" s="4" t="e">
        <f>Table4[[#This Row],[avg_viewers_per_stream]] / Table4[[#This Row],[total_followers]]</f>
        <v>#DIV/0!</v>
      </c>
    </row>
    <row r="591" spans="1:20">
      <c r="A591">
        <v>591</v>
      </c>
      <c r="B591" t="s">
        <v>796</v>
      </c>
      <c r="C591" t="s">
        <v>3</v>
      </c>
      <c r="D591" t="s">
        <v>39</v>
      </c>
      <c r="E591" t="s">
        <v>68</v>
      </c>
      <c r="F591" t="s">
        <v>54</v>
      </c>
      <c r="G591" s="3">
        <v>8.1</v>
      </c>
      <c r="H591">
        <v>1683</v>
      </c>
      <c r="I591">
        <v>2742</v>
      </c>
      <c r="J591">
        <v>1.7</v>
      </c>
      <c r="K591">
        <v>14451</v>
      </c>
      <c r="L591" s="2">
        <v>2830000</v>
      </c>
      <c r="M591" s="2">
        <v>46200000</v>
      </c>
      <c r="N591">
        <v>136</v>
      </c>
      <c r="O591">
        <v>5</v>
      </c>
      <c r="P591" t="s">
        <v>19</v>
      </c>
      <c r="Q591" t="s">
        <v>17</v>
      </c>
      <c r="R591" s="2">
        <f>Table4[[#This Row],[total_followers]]/(Table4[[#This Row],[total_time_streamed]] / 60)</f>
        <v>11750.051899522525</v>
      </c>
      <c r="S591" t="str">
        <f>IF(Table4[[#This Row],[avg_games_per_stream]] &gt; 2, "Variety", "Focused")</f>
        <v>Focused</v>
      </c>
      <c r="T591" s="4">
        <f>Table4[[#This Row],[avg_viewers_per_stream]] / Table4[[#This Row],[total_followers]]</f>
        <v>9.6890459363957601E-4</v>
      </c>
    </row>
    <row r="592" spans="1:20">
      <c r="A592">
        <v>592</v>
      </c>
      <c r="B592" t="s">
        <v>797</v>
      </c>
      <c r="C592" t="s">
        <v>6</v>
      </c>
      <c r="D592" t="s">
        <v>39</v>
      </c>
      <c r="E592" t="s">
        <v>98</v>
      </c>
      <c r="F592" t="s">
        <v>85</v>
      </c>
      <c r="G592" s="3">
        <v>19.8</v>
      </c>
      <c r="H592">
        <v>370</v>
      </c>
      <c r="I592">
        <v>0</v>
      </c>
      <c r="J592">
        <v>1.8</v>
      </c>
      <c r="K592">
        <v>1190</v>
      </c>
      <c r="L592" s="2">
        <v>1500</v>
      </c>
      <c r="M592" s="2">
        <v>0</v>
      </c>
      <c r="N592">
        <v>2</v>
      </c>
      <c r="O592">
        <v>1.6</v>
      </c>
      <c r="P592" t="s">
        <v>17</v>
      </c>
      <c r="Q592" t="s">
        <v>18</v>
      </c>
      <c r="R592" s="2">
        <f>Table4[[#This Row],[total_followers]]/(Table4[[#This Row],[total_time_streamed]] / 60)</f>
        <v>75.630252100840337</v>
      </c>
      <c r="S592" t="str">
        <f>IF(Table4[[#This Row],[avg_games_per_stream]] &gt; 2, "Variety", "Focused")</f>
        <v>Focused</v>
      </c>
      <c r="T592" s="4">
        <f>Table4[[#This Row],[avg_viewers_per_stream]] / Table4[[#This Row],[total_followers]]</f>
        <v>0</v>
      </c>
    </row>
    <row r="593" spans="1:20">
      <c r="A593">
        <v>593</v>
      </c>
      <c r="B593" t="s">
        <v>798</v>
      </c>
      <c r="C593" t="s">
        <v>3</v>
      </c>
      <c r="D593" t="s">
        <v>39</v>
      </c>
      <c r="E593" t="s">
        <v>799</v>
      </c>
      <c r="F593" t="s">
        <v>123</v>
      </c>
      <c r="G593" s="3">
        <v>6.1</v>
      </c>
      <c r="H593">
        <v>1850</v>
      </c>
      <c r="I593">
        <v>40</v>
      </c>
      <c r="J593">
        <v>1.3</v>
      </c>
      <c r="K593">
        <v>3491</v>
      </c>
      <c r="L593" s="2">
        <v>89200</v>
      </c>
      <c r="M593" s="2">
        <v>7800</v>
      </c>
      <c r="N593">
        <v>51</v>
      </c>
      <c r="O593">
        <v>2</v>
      </c>
      <c r="P593" t="s">
        <v>17</v>
      </c>
      <c r="Q593" t="s">
        <v>19</v>
      </c>
      <c r="R593" s="2">
        <f>Table4[[#This Row],[total_followers]]/(Table4[[#This Row],[total_time_streamed]] / 60)</f>
        <v>1533.0850759094817</v>
      </c>
      <c r="S593" t="str">
        <f>IF(Table4[[#This Row],[avg_games_per_stream]] &gt; 2, "Variety", "Focused")</f>
        <v>Focused</v>
      </c>
      <c r="T593" s="4">
        <f>Table4[[#This Row],[avg_viewers_per_stream]] / Table4[[#This Row],[total_followers]]</f>
        <v>4.4843049327354261E-4</v>
      </c>
    </row>
    <row r="594" spans="1:20">
      <c r="A594">
        <v>594</v>
      </c>
      <c r="B594" t="s">
        <v>800</v>
      </c>
      <c r="C594" t="s">
        <v>63</v>
      </c>
      <c r="D594" t="s">
        <v>39</v>
      </c>
      <c r="E594" t="s">
        <v>595</v>
      </c>
      <c r="G594" s="3">
        <v>6.3</v>
      </c>
      <c r="H594">
        <v>10</v>
      </c>
      <c r="I594">
        <v>0</v>
      </c>
      <c r="J594">
        <v>1</v>
      </c>
      <c r="K594">
        <v>60</v>
      </c>
      <c r="L594" s="2">
        <v>1</v>
      </c>
      <c r="M594" s="2">
        <v>0</v>
      </c>
      <c r="N594">
        <v>1</v>
      </c>
      <c r="O594">
        <v>0.5</v>
      </c>
      <c r="P594" t="s">
        <v>14</v>
      </c>
      <c r="Q594" t="s">
        <v>14</v>
      </c>
      <c r="R594" s="2">
        <f>Table4[[#This Row],[total_followers]]/(Table4[[#This Row],[total_time_streamed]] / 60)</f>
        <v>1</v>
      </c>
      <c r="S594" t="str">
        <f>IF(Table4[[#This Row],[avg_games_per_stream]] &gt; 2, "Variety", "Focused")</f>
        <v>Focused</v>
      </c>
      <c r="T594" s="4">
        <f>Table4[[#This Row],[avg_viewers_per_stream]] / Table4[[#This Row],[total_followers]]</f>
        <v>0</v>
      </c>
    </row>
    <row r="595" spans="1:20">
      <c r="A595">
        <v>595</v>
      </c>
      <c r="B595" t="s">
        <v>801</v>
      </c>
      <c r="C595" t="s">
        <v>61</v>
      </c>
      <c r="D595" t="s">
        <v>39</v>
      </c>
      <c r="E595" t="s">
        <v>371</v>
      </c>
      <c r="F595" t="s">
        <v>54</v>
      </c>
      <c r="G595" s="3">
        <v>6</v>
      </c>
      <c r="H595">
        <v>1760</v>
      </c>
      <c r="I595">
        <v>15534</v>
      </c>
      <c r="J595">
        <v>2.1</v>
      </c>
      <c r="K595">
        <v>13583</v>
      </c>
      <c r="L595" s="2">
        <v>546000</v>
      </c>
      <c r="M595" s="2">
        <v>43400000</v>
      </c>
      <c r="N595">
        <v>558</v>
      </c>
      <c r="O595">
        <v>5.8</v>
      </c>
      <c r="P595" t="s">
        <v>17</v>
      </c>
      <c r="Q595" t="s">
        <v>17</v>
      </c>
      <c r="R595" s="2">
        <f>Table4[[#This Row],[total_followers]]/(Table4[[#This Row],[total_time_streamed]] / 60)</f>
        <v>2411.8383273209161</v>
      </c>
      <c r="S595" t="str">
        <f>IF(Table4[[#This Row],[avg_games_per_stream]] &gt; 2, "Variety", "Focused")</f>
        <v>Variety</v>
      </c>
      <c r="T595" s="4">
        <f>Table4[[#This Row],[avg_viewers_per_stream]] / Table4[[#This Row],[total_followers]]</f>
        <v>2.8450549450549451E-2</v>
      </c>
    </row>
    <row r="596" spans="1:20">
      <c r="A596">
        <v>596</v>
      </c>
      <c r="B596" t="s">
        <v>802</v>
      </c>
      <c r="C596" t="s">
        <v>7</v>
      </c>
      <c r="D596" t="s">
        <v>39</v>
      </c>
      <c r="E596" t="s">
        <v>40</v>
      </c>
      <c r="F596" t="s">
        <v>803</v>
      </c>
      <c r="G596" s="3">
        <v>4.4000000000000004</v>
      </c>
      <c r="H596">
        <v>4900</v>
      </c>
      <c r="I596">
        <v>516</v>
      </c>
      <c r="J596">
        <v>2.6</v>
      </c>
      <c r="K596">
        <v>5405</v>
      </c>
      <c r="L596" s="2">
        <v>572000</v>
      </c>
      <c r="M596" s="2">
        <v>6020000</v>
      </c>
      <c r="N596">
        <v>216</v>
      </c>
      <c r="O596">
        <v>3.6</v>
      </c>
      <c r="P596" t="s">
        <v>15</v>
      </c>
      <c r="Q596" t="s">
        <v>16</v>
      </c>
      <c r="R596" s="2">
        <f>Table4[[#This Row],[total_followers]]/(Table4[[#This Row],[total_time_streamed]] / 60)</f>
        <v>6349.6762257169294</v>
      </c>
      <c r="S596" t="str">
        <f>IF(Table4[[#This Row],[avg_games_per_stream]] &gt; 2, "Variety", "Focused")</f>
        <v>Variety</v>
      </c>
      <c r="T596" s="4">
        <f>Table4[[#This Row],[avg_viewers_per_stream]] / Table4[[#This Row],[total_followers]]</f>
        <v>9.0209790209790205E-4</v>
      </c>
    </row>
    <row r="597" spans="1:20">
      <c r="A597">
        <v>597</v>
      </c>
      <c r="B597" t="s">
        <v>804</v>
      </c>
      <c r="C597" t="s">
        <v>7</v>
      </c>
      <c r="D597" t="s">
        <v>39</v>
      </c>
      <c r="E597" t="s">
        <v>40</v>
      </c>
      <c r="F597" t="s">
        <v>240</v>
      </c>
      <c r="G597" s="3">
        <v>6.2</v>
      </c>
      <c r="H597">
        <v>6160</v>
      </c>
      <c r="I597">
        <v>0</v>
      </c>
      <c r="J597">
        <v>1</v>
      </c>
      <c r="K597">
        <v>1407</v>
      </c>
      <c r="L597" s="2">
        <v>148000</v>
      </c>
      <c r="M597" s="2">
        <v>0</v>
      </c>
      <c r="N597">
        <v>2</v>
      </c>
      <c r="O597">
        <v>4.5999999999999996</v>
      </c>
      <c r="P597" t="s">
        <v>19</v>
      </c>
      <c r="Q597" t="s">
        <v>14</v>
      </c>
      <c r="R597" s="2">
        <f>Table4[[#This Row],[total_followers]]/(Table4[[#This Row],[total_time_streamed]] / 60)</f>
        <v>6311.3006396588489</v>
      </c>
      <c r="S597" t="str">
        <f>IF(Table4[[#This Row],[avg_games_per_stream]] &gt; 2, "Variety", "Focused")</f>
        <v>Focused</v>
      </c>
      <c r="T597" s="4">
        <f>Table4[[#This Row],[avg_viewers_per_stream]] / Table4[[#This Row],[total_followers]]</f>
        <v>0</v>
      </c>
    </row>
    <row r="598" spans="1:20">
      <c r="A598">
        <v>598</v>
      </c>
      <c r="B598" t="s">
        <v>805</v>
      </c>
      <c r="C598" t="s">
        <v>7</v>
      </c>
      <c r="D598" t="s">
        <v>39</v>
      </c>
      <c r="E598" t="s">
        <v>40</v>
      </c>
      <c r="F598" t="s">
        <v>550</v>
      </c>
      <c r="G598" s="3">
        <v>4.2</v>
      </c>
      <c r="H598">
        <v>4250</v>
      </c>
      <c r="I598">
        <v>1710</v>
      </c>
      <c r="J598">
        <v>2.2000000000000002</v>
      </c>
      <c r="K598">
        <v>3362</v>
      </c>
      <c r="L598" s="2">
        <v>330000</v>
      </c>
      <c r="M598" s="2">
        <v>133000</v>
      </c>
      <c r="N598">
        <v>227</v>
      </c>
      <c r="O598">
        <v>5.6</v>
      </c>
      <c r="P598" t="s">
        <v>17</v>
      </c>
      <c r="Q598" t="s">
        <v>15</v>
      </c>
      <c r="R598" s="2">
        <f>Table4[[#This Row],[total_followers]]/(Table4[[#This Row],[total_time_streamed]] / 60)</f>
        <v>5889.3515764425938</v>
      </c>
      <c r="S598" t="str">
        <f>IF(Table4[[#This Row],[avg_games_per_stream]] &gt; 2, "Variety", "Focused")</f>
        <v>Variety</v>
      </c>
      <c r="T598" s="4">
        <f>Table4[[#This Row],[avg_viewers_per_stream]] / Table4[[#This Row],[total_followers]]</f>
        <v>5.1818181818181815E-3</v>
      </c>
    </row>
    <row r="599" spans="1:20">
      <c r="A599">
        <v>599</v>
      </c>
      <c r="B599" t="s">
        <v>806</v>
      </c>
      <c r="C599" t="s">
        <v>7</v>
      </c>
      <c r="D599" t="s">
        <v>39</v>
      </c>
      <c r="E599" t="s">
        <v>314</v>
      </c>
      <c r="F599" t="s">
        <v>233</v>
      </c>
      <c r="G599" s="3">
        <v>6.3</v>
      </c>
      <c r="H599">
        <v>2690</v>
      </c>
      <c r="I599">
        <v>49</v>
      </c>
      <c r="J599">
        <v>1.9</v>
      </c>
      <c r="K599">
        <v>11028</v>
      </c>
      <c r="L599" s="2">
        <v>450000</v>
      </c>
      <c r="M599" s="2">
        <v>8170000</v>
      </c>
      <c r="N599">
        <v>123</v>
      </c>
      <c r="O599">
        <v>4.4000000000000004</v>
      </c>
      <c r="P599" t="s">
        <v>18</v>
      </c>
      <c r="Q599" t="s">
        <v>19</v>
      </c>
      <c r="R599" s="2">
        <f>Table4[[#This Row],[total_followers]]/(Table4[[#This Row],[total_time_streamed]] / 60)</f>
        <v>2448.3133841131662</v>
      </c>
      <c r="S599" t="str">
        <f>IF(Table4[[#This Row],[avg_games_per_stream]] &gt; 2, "Variety", "Focused")</f>
        <v>Focused</v>
      </c>
      <c r="T599" s="4">
        <f>Table4[[#This Row],[avg_viewers_per_stream]] / Table4[[#This Row],[total_followers]]</f>
        <v>1.0888888888888889E-4</v>
      </c>
    </row>
    <row r="600" spans="1:20">
      <c r="A600">
        <v>600</v>
      </c>
      <c r="B600" t="s">
        <v>807</v>
      </c>
      <c r="C600" t="s">
        <v>3</v>
      </c>
      <c r="D600" t="s">
        <v>39</v>
      </c>
      <c r="E600" t="s">
        <v>109</v>
      </c>
      <c r="F600" t="s">
        <v>808</v>
      </c>
      <c r="G600" s="3">
        <v>7.8</v>
      </c>
      <c r="H600">
        <v>1500</v>
      </c>
      <c r="I600">
        <v>9068</v>
      </c>
      <c r="J600">
        <v>1.3</v>
      </c>
      <c r="K600">
        <v>198</v>
      </c>
      <c r="L600" s="2">
        <v>427000</v>
      </c>
      <c r="M600" s="2">
        <v>25800000</v>
      </c>
      <c r="N600">
        <v>156</v>
      </c>
      <c r="O600">
        <v>6.6</v>
      </c>
      <c r="P600" t="s">
        <v>19</v>
      </c>
      <c r="Q600" t="s">
        <v>19</v>
      </c>
      <c r="R600" s="2">
        <f>Table4[[#This Row],[total_followers]]/(Table4[[#This Row],[total_time_streamed]] / 60)</f>
        <v>129393.93939393941</v>
      </c>
      <c r="S600" t="str">
        <f>IF(Table4[[#This Row],[avg_games_per_stream]] &gt; 2, "Variety", "Focused")</f>
        <v>Focused</v>
      </c>
      <c r="T600" s="4">
        <f>Table4[[#This Row],[avg_viewers_per_stream]] / Table4[[#This Row],[total_followers]]</f>
        <v>2.1236533957845433E-2</v>
      </c>
    </row>
    <row r="601" spans="1:20">
      <c r="A601">
        <v>601</v>
      </c>
      <c r="B601" t="s">
        <v>809</v>
      </c>
      <c r="C601" t="s">
        <v>3</v>
      </c>
      <c r="D601" t="s">
        <v>39</v>
      </c>
      <c r="E601" t="s">
        <v>810</v>
      </c>
      <c r="F601" t="s">
        <v>811</v>
      </c>
      <c r="G601" s="3">
        <v>8.4</v>
      </c>
      <c r="H601">
        <v>280</v>
      </c>
      <c r="I601">
        <v>6269</v>
      </c>
      <c r="J601">
        <v>1.4</v>
      </c>
      <c r="K601">
        <v>20644</v>
      </c>
      <c r="L601" s="2">
        <v>153000</v>
      </c>
      <c r="M601" s="2">
        <v>26900000</v>
      </c>
      <c r="N601">
        <v>397</v>
      </c>
      <c r="O601">
        <v>6.3</v>
      </c>
      <c r="P601" t="s">
        <v>17</v>
      </c>
      <c r="Q601" t="s">
        <v>17</v>
      </c>
      <c r="R601" s="2">
        <f>Table4[[#This Row],[total_followers]]/(Table4[[#This Row],[total_time_streamed]] / 60)</f>
        <v>444.68126332106181</v>
      </c>
      <c r="S601" t="str">
        <f>IF(Table4[[#This Row],[avg_games_per_stream]] &gt; 2, "Variety", "Focused")</f>
        <v>Focused</v>
      </c>
      <c r="T601" s="4">
        <f>Table4[[#This Row],[avg_viewers_per_stream]] / Table4[[#This Row],[total_followers]]</f>
        <v>4.0973856209150325E-2</v>
      </c>
    </row>
    <row r="602" spans="1:20">
      <c r="A602">
        <v>602</v>
      </c>
      <c r="B602" t="s">
        <v>812</v>
      </c>
      <c r="C602" t="s">
        <v>6</v>
      </c>
      <c r="D602" t="s">
        <v>39</v>
      </c>
      <c r="E602" t="s">
        <v>56</v>
      </c>
      <c r="F602" t="s">
        <v>40</v>
      </c>
      <c r="G602" s="3">
        <v>15.4</v>
      </c>
      <c r="H602">
        <v>5940</v>
      </c>
      <c r="I602">
        <v>234</v>
      </c>
      <c r="J602">
        <v>2.7</v>
      </c>
      <c r="K602">
        <v>16056</v>
      </c>
      <c r="L602" s="2">
        <v>641000</v>
      </c>
      <c r="M602" s="2">
        <v>25300000</v>
      </c>
      <c r="N602">
        <v>255</v>
      </c>
      <c r="O602">
        <v>5.5</v>
      </c>
      <c r="P602" t="s">
        <v>20</v>
      </c>
      <c r="Q602" t="s">
        <v>18</v>
      </c>
      <c r="R602" s="2">
        <f>Table4[[#This Row],[total_followers]]/(Table4[[#This Row],[total_time_streamed]] / 60)</f>
        <v>2395.3662182361732</v>
      </c>
      <c r="S602" t="str">
        <f>IF(Table4[[#This Row],[avg_games_per_stream]] &gt; 2, "Variety", "Focused")</f>
        <v>Variety</v>
      </c>
      <c r="T602" s="4">
        <f>Table4[[#This Row],[avg_viewers_per_stream]] / Table4[[#This Row],[total_followers]]</f>
        <v>3.6505460218408739E-4</v>
      </c>
    </row>
    <row r="603" spans="1:20">
      <c r="A603">
        <v>603</v>
      </c>
      <c r="B603" t="s">
        <v>813</v>
      </c>
      <c r="C603" t="s">
        <v>3</v>
      </c>
      <c r="D603" t="s">
        <v>39</v>
      </c>
      <c r="E603" t="s">
        <v>46</v>
      </c>
      <c r="F603" t="s">
        <v>53</v>
      </c>
      <c r="G603" s="3">
        <v>8.6999999999999993</v>
      </c>
      <c r="H603">
        <v>3980</v>
      </c>
      <c r="I603">
        <v>40331</v>
      </c>
      <c r="J603">
        <v>2.2000000000000002</v>
      </c>
      <c r="K603">
        <v>20165</v>
      </c>
      <c r="L603" s="2">
        <v>1760000</v>
      </c>
      <c r="M603" s="2">
        <v>141000000</v>
      </c>
      <c r="N603">
        <v>275</v>
      </c>
      <c r="O603">
        <v>5.9</v>
      </c>
      <c r="P603" t="s">
        <v>20</v>
      </c>
      <c r="Q603" t="s">
        <v>16</v>
      </c>
      <c r="R603" s="2">
        <f>Table4[[#This Row],[total_followers]]/(Table4[[#This Row],[total_time_streamed]] / 60)</f>
        <v>5236.7964294569801</v>
      </c>
      <c r="S603" t="str">
        <f>IF(Table4[[#This Row],[avg_games_per_stream]] &gt; 2, "Variety", "Focused")</f>
        <v>Variety</v>
      </c>
      <c r="T603" s="4">
        <f>Table4[[#This Row],[avg_viewers_per_stream]] / Table4[[#This Row],[total_followers]]</f>
        <v>2.291534090909091E-2</v>
      </c>
    </row>
    <row r="604" spans="1:20">
      <c r="A604">
        <v>604</v>
      </c>
      <c r="B604" t="s">
        <v>814</v>
      </c>
      <c r="C604" t="s">
        <v>3</v>
      </c>
      <c r="D604" t="s">
        <v>39</v>
      </c>
      <c r="E604" t="s">
        <v>284</v>
      </c>
      <c r="F604" t="s">
        <v>815</v>
      </c>
      <c r="G604" s="3">
        <v>4.7</v>
      </c>
      <c r="H604">
        <v>1239</v>
      </c>
      <c r="I604">
        <v>112386</v>
      </c>
      <c r="J604">
        <v>1.2</v>
      </c>
      <c r="K604">
        <v>6679</v>
      </c>
      <c r="L604" s="2">
        <v>1910000</v>
      </c>
      <c r="M604" s="2">
        <v>175000000</v>
      </c>
      <c r="N604">
        <v>59</v>
      </c>
      <c r="O604">
        <v>4</v>
      </c>
      <c r="P604" t="s">
        <v>17</v>
      </c>
      <c r="Q604" t="s">
        <v>17</v>
      </c>
      <c r="R604" s="2">
        <f>Table4[[#This Row],[total_followers]]/(Table4[[#This Row],[total_time_streamed]] / 60)</f>
        <v>17158.257224135352</v>
      </c>
      <c r="S604" t="str">
        <f>IF(Table4[[#This Row],[avg_games_per_stream]] &gt; 2, "Variety", "Focused")</f>
        <v>Focused</v>
      </c>
      <c r="T604" s="4">
        <f>Table4[[#This Row],[avg_viewers_per_stream]] / Table4[[#This Row],[total_followers]]</f>
        <v>5.884083769633508E-2</v>
      </c>
    </row>
    <row r="605" spans="1:20">
      <c r="A605">
        <v>605</v>
      </c>
      <c r="B605" t="s">
        <v>816</v>
      </c>
      <c r="C605" t="s">
        <v>6</v>
      </c>
      <c r="D605" t="s">
        <v>39</v>
      </c>
      <c r="E605" t="s">
        <v>40</v>
      </c>
      <c r="F605" t="s">
        <v>51</v>
      </c>
      <c r="G605" s="3">
        <v>3.5</v>
      </c>
      <c r="H605">
        <v>4730</v>
      </c>
      <c r="I605">
        <v>9910</v>
      </c>
      <c r="J605">
        <v>1.6</v>
      </c>
      <c r="K605">
        <v>4456</v>
      </c>
      <c r="L605" s="2">
        <v>607000</v>
      </c>
      <c r="M605" s="2">
        <v>1270000</v>
      </c>
      <c r="N605">
        <v>72</v>
      </c>
      <c r="O605">
        <v>5.5</v>
      </c>
      <c r="P605" t="s">
        <v>14</v>
      </c>
      <c r="Q605" t="s">
        <v>16</v>
      </c>
      <c r="R605" s="2">
        <f>Table4[[#This Row],[total_followers]]/(Table4[[#This Row],[total_time_streamed]] / 60)</f>
        <v>8173.2495511669658</v>
      </c>
      <c r="S605" t="str">
        <f>IF(Table4[[#This Row],[avg_games_per_stream]] &gt; 2, "Variety", "Focused")</f>
        <v>Focused</v>
      </c>
      <c r="T605" s="4">
        <f>Table4[[#This Row],[avg_viewers_per_stream]] / Table4[[#This Row],[total_followers]]</f>
        <v>1.6326194398682044E-2</v>
      </c>
    </row>
    <row r="606" spans="1:20">
      <c r="A606">
        <v>606</v>
      </c>
      <c r="B606" t="s">
        <v>817</v>
      </c>
      <c r="C606" t="s">
        <v>3</v>
      </c>
      <c r="D606" t="s">
        <v>39</v>
      </c>
      <c r="E606" t="s">
        <v>51</v>
      </c>
      <c r="F606" t="s">
        <v>555</v>
      </c>
      <c r="G606" s="3">
        <v>2.6</v>
      </c>
      <c r="H606">
        <v>1401</v>
      </c>
      <c r="I606">
        <v>4185</v>
      </c>
      <c r="J606">
        <v>1</v>
      </c>
      <c r="K606">
        <v>9330</v>
      </c>
      <c r="L606" s="2">
        <v>525000</v>
      </c>
      <c r="M606" s="2">
        <v>1640000</v>
      </c>
      <c r="N606">
        <v>12</v>
      </c>
      <c r="O606">
        <v>0.9</v>
      </c>
      <c r="P606" t="s">
        <v>15</v>
      </c>
      <c r="Q606" t="s">
        <v>20</v>
      </c>
      <c r="R606" s="2">
        <f>Table4[[#This Row],[total_followers]]/(Table4[[#This Row],[total_time_streamed]] / 60)</f>
        <v>3376.2057877813504</v>
      </c>
      <c r="S606" t="str">
        <f>IF(Table4[[#This Row],[avg_games_per_stream]] &gt; 2, "Variety", "Focused")</f>
        <v>Focused</v>
      </c>
      <c r="T606" s="4">
        <f>Table4[[#This Row],[avg_viewers_per_stream]] / Table4[[#This Row],[total_followers]]</f>
        <v>7.971428571428572E-3</v>
      </c>
    </row>
    <row r="607" spans="1:20">
      <c r="A607">
        <v>607</v>
      </c>
      <c r="B607" t="s">
        <v>818</v>
      </c>
      <c r="C607" t="s">
        <v>3</v>
      </c>
      <c r="D607" t="s">
        <v>39</v>
      </c>
      <c r="E607" t="s">
        <v>56</v>
      </c>
      <c r="F607" t="s">
        <v>54</v>
      </c>
      <c r="G607" s="3">
        <v>8.6999999999999993</v>
      </c>
      <c r="H607">
        <v>1960</v>
      </c>
      <c r="I607">
        <v>1893</v>
      </c>
      <c r="J607">
        <v>1.4</v>
      </c>
      <c r="K607">
        <v>23045</v>
      </c>
      <c r="L607" s="2">
        <v>879000</v>
      </c>
      <c r="M607" s="2">
        <v>73400000</v>
      </c>
      <c r="N607">
        <v>181</v>
      </c>
      <c r="O607">
        <v>6.7</v>
      </c>
      <c r="P607" t="s">
        <v>17</v>
      </c>
      <c r="Q607" t="s">
        <v>14</v>
      </c>
      <c r="R607" s="2">
        <f>Table4[[#This Row],[total_followers]]/(Table4[[#This Row],[total_time_streamed]] / 60)</f>
        <v>2288.5658494250379</v>
      </c>
      <c r="S607" t="str">
        <f>IF(Table4[[#This Row],[avg_games_per_stream]] &gt; 2, "Variety", "Focused")</f>
        <v>Focused</v>
      </c>
      <c r="T607" s="4">
        <f>Table4[[#This Row],[avg_viewers_per_stream]] / Table4[[#This Row],[total_followers]]</f>
        <v>2.1535836177474402E-3</v>
      </c>
    </row>
    <row r="608" spans="1:20">
      <c r="A608">
        <v>608</v>
      </c>
      <c r="B608" t="s">
        <v>819</v>
      </c>
      <c r="C608" t="s">
        <v>3</v>
      </c>
      <c r="D608" t="s">
        <v>39</v>
      </c>
      <c r="E608" t="s">
        <v>220</v>
      </c>
      <c r="F608" t="s">
        <v>12</v>
      </c>
      <c r="G608" s="3">
        <v>4.3</v>
      </c>
      <c r="H608">
        <v>1080</v>
      </c>
      <c r="I608">
        <v>37008</v>
      </c>
      <c r="J608">
        <v>1.1000000000000001</v>
      </c>
      <c r="K608">
        <v>980</v>
      </c>
      <c r="L608" s="2">
        <v>2500</v>
      </c>
      <c r="M608" s="2">
        <v>852000</v>
      </c>
      <c r="N608">
        <v>2</v>
      </c>
      <c r="O608">
        <v>0.1</v>
      </c>
      <c r="P608" t="s">
        <v>19</v>
      </c>
      <c r="Q608" t="s">
        <v>19</v>
      </c>
      <c r="R608" s="2">
        <f>Table4[[#This Row],[total_followers]]/(Table4[[#This Row],[total_time_streamed]] / 60)</f>
        <v>153.06122448979593</v>
      </c>
      <c r="S608" t="str">
        <f>IF(Table4[[#This Row],[avg_games_per_stream]] &gt; 2, "Variety", "Focused")</f>
        <v>Focused</v>
      </c>
      <c r="T608" s="4">
        <f>Table4[[#This Row],[avg_viewers_per_stream]] / Table4[[#This Row],[total_followers]]</f>
        <v>14.8032</v>
      </c>
    </row>
    <row r="609" spans="1:20">
      <c r="A609">
        <v>609</v>
      </c>
      <c r="B609" t="s">
        <v>820</v>
      </c>
      <c r="C609" t="s">
        <v>3</v>
      </c>
      <c r="D609" t="s">
        <v>39</v>
      </c>
      <c r="E609" t="s">
        <v>46</v>
      </c>
      <c r="F609" t="s">
        <v>821</v>
      </c>
      <c r="G609" s="3">
        <v>7</v>
      </c>
      <c r="H609">
        <v>930</v>
      </c>
      <c r="I609">
        <v>10996</v>
      </c>
      <c r="J609">
        <v>1.7</v>
      </c>
      <c r="K609">
        <v>16291</v>
      </c>
      <c r="L609" s="2">
        <v>331000</v>
      </c>
      <c r="M609" s="2">
        <v>26800000</v>
      </c>
      <c r="N609">
        <v>506</v>
      </c>
      <c r="O609">
        <v>5.9</v>
      </c>
      <c r="P609" t="s">
        <v>20</v>
      </c>
      <c r="Q609" t="s">
        <v>17</v>
      </c>
      <c r="R609" s="2">
        <f>Table4[[#This Row],[total_followers]]/(Table4[[#This Row],[total_time_streamed]] / 60)</f>
        <v>1219.078018537843</v>
      </c>
      <c r="S609" t="str">
        <f>IF(Table4[[#This Row],[avg_games_per_stream]] &gt; 2, "Variety", "Focused")</f>
        <v>Focused</v>
      </c>
      <c r="T609" s="4">
        <f>Table4[[#This Row],[avg_viewers_per_stream]] / Table4[[#This Row],[total_followers]]</f>
        <v>3.3220543806646526E-2</v>
      </c>
    </row>
    <row r="610" spans="1:20">
      <c r="A610">
        <v>610</v>
      </c>
      <c r="B610" t="s">
        <v>822</v>
      </c>
      <c r="C610" t="s">
        <v>6</v>
      </c>
      <c r="D610" t="s">
        <v>39</v>
      </c>
      <c r="E610" t="s">
        <v>85</v>
      </c>
      <c r="G610" s="3">
        <v>14.1</v>
      </c>
      <c r="H610">
        <v>-4240</v>
      </c>
      <c r="I610">
        <v>0</v>
      </c>
      <c r="J610">
        <v>1</v>
      </c>
      <c r="K610">
        <v>560</v>
      </c>
      <c r="L610" s="2">
        <v>1</v>
      </c>
      <c r="M610" s="2">
        <v>0</v>
      </c>
      <c r="N610">
        <v>1</v>
      </c>
      <c r="O610">
        <v>2.2999999999999998</v>
      </c>
      <c r="P610" t="s">
        <v>19</v>
      </c>
      <c r="Q610" t="s">
        <v>20</v>
      </c>
      <c r="R610" s="2">
        <f>Table4[[#This Row],[total_followers]]/(Table4[[#This Row],[total_time_streamed]] / 60)</f>
        <v>0.10714285714285714</v>
      </c>
      <c r="S610" t="str">
        <f>IF(Table4[[#This Row],[avg_games_per_stream]] &gt; 2, "Variety", "Focused")</f>
        <v>Focused</v>
      </c>
      <c r="T610" s="4">
        <f>Table4[[#This Row],[avg_viewers_per_stream]] / Table4[[#This Row],[total_followers]]</f>
        <v>0</v>
      </c>
    </row>
    <row r="611" spans="1:20">
      <c r="A611">
        <v>611</v>
      </c>
      <c r="B611" t="s">
        <v>823</v>
      </c>
      <c r="C611" t="s">
        <v>63</v>
      </c>
      <c r="D611" t="s">
        <v>39</v>
      </c>
      <c r="E611" t="s">
        <v>40</v>
      </c>
      <c r="F611" t="s">
        <v>64</v>
      </c>
      <c r="G611" s="3">
        <v>3.9</v>
      </c>
      <c r="H611">
        <v>2710</v>
      </c>
      <c r="I611">
        <v>9997</v>
      </c>
      <c r="J611">
        <v>2</v>
      </c>
      <c r="K611">
        <v>8461</v>
      </c>
      <c r="L611" s="2">
        <v>528000</v>
      </c>
      <c r="M611" s="2">
        <v>20100000</v>
      </c>
      <c r="N611">
        <v>185</v>
      </c>
      <c r="O611">
        <v>5.3</v>
      </c>
      <c r="P611" t="s">
        <v>19</v>
      </c>
      <c r="Q611" t="s">
        <v>17</v>
      </c>
      <c r="R611" s="2">
        <f>Table4[[#This Row],[total_followers]]/(Table4[[#This Row],[total_time_streamed]] / 60)</f>
        <v>3744.238269708072</v>
      </c>
      <c r="S611" t="str">
        <f>IF(Table4[[#This Row],[avg_games_per_stream]] &gt; 2, "Variety", "Focused")</f>
        <v>Focused</v>
      </c>
      <c r="T611" s="4">
        <f>Table4[[#This Row],[avg_viewers_per_stream]] / Table4[[#This Row],[total_followers]]</f>
        <v>1.8933712121212122E-2</v>
      </c>
    </row>
    <row r="612" spans="1:20">
      <c r="A612">
        <v>612</v>
      </c>
      <c r="B612" t="s">
        <v>824</v>
      </c>
      <c r="C612" t="s">
        <v>63</v>
      </c>
      <c r="D612" t="s">
        <v>39</v>
      </c>
      <c r="E612" t="s">
        <v>595</v>
      </c>
      <c r="G612" s="3">
        <v>5.3</v>
      </c>
      <c r="H612">
        <v>20</v>
      </c>
      <c r="I612">
        <v>0</v>
      </c>
      <c r="J612">
        <v>1</v>
      </c>
      <c r="K612">
        <v>110</v>
      </c>
      <c r="L612" s="2">
        <v>2</v>
      </c>
      <c r="M612" s="2">
        <v>0</v>
      </c>
      <c r="N612">
        <v>1</v>
      </c>
      <c r="O612">
        <v>0.6</v>
      </c>
      <c r="P612" t="s">
        <v>16</v>
      </c>
      <c r="Q612" t="s">
        <v>14</v>
      </c>
      <c r="R612" s="2">
        <f>Table4[[#This Row],[total_followers]]/(Table4[[#This Row],[total_time_streamed]] / 60)</f>
        <v>1.0909090909090911</v>
      </c>
      <c r="S612" t="str">
        <f>IF(Table4[[#This Row],[avg_games_per_stream]] &gt; 2, "Variety", "Focused")</f>
        <v>Focused</v>
      </c>
      <c r="T612" s="4">
        <f>Table4[[#This Row],[avg_viewers_per_stream]] / Table4[[#This Row],[total_followers]]</f>
        <v>0</v>
      </c>
    </row>
    <row r="613" spans="1:20">
      <c r="A613">
        <v>613</v>
      </c>
      <c r="B613" t="s">
        <v>825</v>
      </c>
      <c r="C613" t="s">
        <v>229</v>
      </c>
      <c r="D613" t="s">
        <v>39</v>
      </c>
      <c r="E613" t="s">
        <v>46</v>
      </c>
      <c r="F613" t="s">
        <v>40</v>
      </c>
      <c r="G613" s="3">
        <v>4</v>
      </c>
      <c r="H613">
        <v>1830</v>
      </c>
      <c r="I613">
        <v>5867</v>
      </c>
      <c r="J613">
        <v>1.1000000000000001</v>
      </c>
      <c r="K613">
        <v>4393</v>
      </c>
      <c r="L613" s="2">
        <v>217000</v>
      </c>
      <c r="M613" s="2">
        <v>6950000</v>
      </c>
      <c r="N613">
        <v>23</v>
      </c>
      <c r="O613">
        <v>3.1</v>
      </c>
      <c r="P613" t="s">
        <v>19</v>
      </c>
      <c r="Q613" t="s">
        <v>14</v>
      </c>
      <c r="R613" s="2">
        <f>Table4[[#This Row],[total_followers]]/(Table4[[#This Row],[total_time_streamed]] / 60)</f>
        <v>2963.8060550876394</v>
      </c>
      <c r="S613" t="str">
        <f>IF(Table4[[#This Row],[avg_games_per_stream]] &gt; 2, "Variety", "Focused")</f>
        <v>Focused</v>
      </c>
      <c r="T613" s="4">
        <f>Table4[[#This Row],[avg_viewers_per_stream]] / Table4[[#This Row],[total_followers]]</f>
        <v>2.7036866359447003E-2</v>
      </c>
    </row>
    <row r="614" spans="1:20">
      <c r="A614">
        <v>614</v>
      </c>
      <c r="B614" t="s">
        <v>826</v>
      </c>
      <c r="C614" t="s">
        <v>3</v>
      </c>
      <c r="D614" t="s">
        <v>39</v>
      </c>
      <c r="E614" t="s">
        <v>46</v>
      </c>
      <c r="F614" t="s">
        <v>123</v>
      </c>
      <c r="G614" s="3">
        <v>6.4</v>
      </c>
      <c r="H614">
        <v>4040</v>
      </c>
      <c r="I614">
        <v>20691</v>
      </c>
      <c r="J614">
        <v>1</v>
      </c>
      <c r="K614">
        <v>12887</v>
      </c>
      <c r="L614" s="2">
        <v>841000</v>
      </c>
      <c r="M614" s="2">
        <v>43000000</v>
      </c>
      <c r="N614">
        <v>25</v>
      </c>
      <c r="O614">
        <v>5.2</v>
      </c>
      <c r="P614" t="s">
        <v>17</v>
      </c>
      <c r="Q614" t="s">
        <v>16</v>
      </c>
      <c r="R614" s="2">
        <f>Table4[[#This Row],[total_followers]]/(Table4[[#This Row],[total_time_streamed]] / 60)</f>
        <v>3915.5738340963762</v>
      </c>
      <c r="S614" t="str">
        <f>IF(Table4[[#This Row],[avg_games_per_stream]] &gt; 2, "Variety", "Focused")</f>
        <v>Focused</v>
      </c>
      <c r="T614" s="4">
        <f>Table4[[#This Row],[avg_viewers_per_stream]] / Table4[[#This Row],[total_followers]]</f>
        <v>2.4602853745541022E-2</v>
      </c>
    </row>
    <row r="615" spans="1:20">
      <c r="A615">
        <v>615</v>
      </c>
      <c r="B615" t="s">
        <v>827</v>
      </c>
      <c r="C615" t="s">
        <v>63</v>
      </c>
      <c r="D615" t="s">
        <v>39</v>
      </c>
      <c r="E615" t="s">
        <v>40</v>
      </c>
      <c r="F615" t="s">
        <v>51</v>
      </c>
      <c r="G615" s="3">
        <v>3.1</v>
      </c>
      <c r="H615">
        <v>2208</v>
      </c>
      <c r="I615">
        <v>0</v>
      </c>
      <c r="J615">
        <v>2.2000000000000002</v>
      </c>
      <c r="K615">
        <v>9450</v>
      </c>
      <c r="L615" s="2">
        <v>669000</v>
      </c>
      <c r="M615" s="2">
        <v>151</v>
      </c>
      <c r="N615">
        <v>183</v>
      </c>
      <c r="O615">
        <v>2.2000000000000002</v>
      </c>
      <c r="P615" t="s">
        <v>15</v>
      </c>
      <c r="Q615" t="s">
        <v>20</v>
      </c>
      <c r="R615" s="2">
        <f>Table4[[#This Row],[total_followers]]/(Table4[[#This Row],[total_time_streamed]] / 60)</f>
        <v>4247.6190476190477</v>
      </c>
      <c r="S615" t="str">
        <f>IF(Table4[[#This Row],[avg_games_per_stream]] &gt; 2, "Variety", "Focused")</f>
        <v>Variety</v>
      </c>
      <c r="T615" s="4">
        <f>Table4[[#This Row],[avg_viewers_per_stream]] / Table4[[#This Row],[total_followers]]</f>
        <v>0</v>
      </c>
    </row>
    <row r="616" spans="1:20">
      <c r="A616">
        <v>616</v>
      </c>
      <c r="B616" t="s">
        <v>828</v>
      </c>
      <c r="C616" t="s">
        <v>3</v>
      </c>
      <c r="D616" t="s">
        <v>39</v>
      </c>
      <c r="E616" t="s">
        <v>40</v>
      </c>
      <c r="F616" t="s">
        <v>66</v>
      </c>
      <c r="G616" s="3">
        <v>3.6</v>
      </c>
      <c r="H616">
        <v>6449</v>
      </c>
      <c r="I616">
        <v>12778</v>
      </c>
      <c r="J616">
        <v>1.5</v>
      </c>
      <c r="K616">
        <v>1920</v>
      </c>
      <c r="L616" s="2">
        <v>368000</v>
      </c>
      <c r="M616" s="2">
        <v>728000</v>
      </c>
      <c r="N616">
        <v>14</v>
      </c>
      <c r="O616">
        <v>0.3</v>
      </c>
      <c r="P616" t="s">
        <v>20</v>
      </c>
      <c r="Q616" t="s">
        <v>15</v>
      </c>
      <c r="R616" s="2">
        <f>Table4[[#This Row],[total_followers]]/(Table4[[#This Row],[total_time_streamed]] / 60)</f>
        <v>11500</v>
      </c>
      <c r="S616" t="str">
        <f>IF(Table4[[#This Row],[avg_games_per_stream]] &gt; 2, "Variety", "Focused")</f>
        <v>Focused</v>
      </c>
      <c r="T616" s="4">
        <f>Table4[[#This Row],[avg_viewers_per_stream]] / Table4[[#This Row],[total_followers]]</f>
        <v>3.4722826086956524E-2</v>
      </c>
    </row>
    <row r="617" spans="1:20">
      <c r="A617">
        <v>617</v>
      </c>
      <c r="B617" t="s">
        <v>829</v>
      </c>
      <c r="C617" t="s">
        <v>3</v>
      </c>
      <c r="D617" t="s">
        <v>39</v>
      </c>
      <c r="E617" t="s">
        <v>123</v>
      </c>
      <c r="F617" t="s">
        <v>74</v>
      </c>
      <c r="G617" s="3">
        <v>6</v>
      </c>
      <c r="H617">
        <v>1580</v>
      </c>
      <c r="I617">
        <v>3159</v>
      </c>
      <c r="J617">
        <v>1.6</v>
      </c>
      <c r="K617">
        <v>9673</v>
      </c>
      <c r="L617" s="2">
        <v>234000</v>
      </c>
      <c r="M617" s="2">
        <v>4700000</v>
      </c>
      <c r="N617">
        <v>110</v>
      </c>
      <c r="O617">
        <v>4.5</v>
      </c>
      <c r="P617" t="s">
        <v>20</v>
      </c>
      <c r="Q617" t="s">
        <v>16</v>
      </c>
      <c r="R617" s="2">
        <f>Table4[[#This Row],[total_followers]]/(Table4[[#This Row],[total_time_streamed]] / 60)</f>
        <v>1451.4628346945105</v>
      </c>
      <c r="S617" t="str">
        <f>IF(Table4[[#This Row],[avg_games_per_stream]] &gt; 2, "Variety", "Focused")</f>
        <v>Focused</v>
      </c>
      <c r="T617" s="4">
        <f>Table4[[#This Row],[avg_viewers_per_stream]] / Table4[[#This Row],[total_followers]]</f>
        <v>1.35E-2</v>
      </c>
    </row>
    <row r="618" spans="1:20">
      <c r="A618">
        <v>618</v>
      </c>
      <c r="B618" t="s">
        <v>830</v>
      </c>
      <c r="C618" t="s">
        <v>4</v>
      </c>
      <c r="D618" t="s">
        <v>39</v>
      </c>
      <c r="E618" t="s">
        <v>240</v>
      </c>
      <c r="F618" t="s">
        <v>40</v>
      </c>
      <c r="G618" s="3">
        <v>4</v>
      </c>
      <c r="H618">
        <v>1510</v>
      </c>
      <c r="I618">
        <v>5751</v>
      </c>
      <c r="J618">
        <v>1.1000000000000001</v>
      </c>
      <c r="K618">
        <v>973</v>
      </c>
      <c r="L618" s="2">
        <v>236000</v>
      </c>
      <c r="M618" s="2">
        <v>11500000</v>
      </c>
      <c r="N618">
        <v>65</v>
      </c>
      <c r="O618">
        <v>3.8</v>
      </c>
      <c r="P618" t="s">
        <v>17</v>
      </c>
      <c r="Q618" t="s">
        <v>14</v>
      </c>
      <c r="R618" s="2">
        <f>Table4[[#This Row],[total_followers]]/(Table4[[#This Row],[total_time_streamed]] / 60)</f>
        <v>14552.929085303187</v>
      </c>
      <c r="S618" t="str">
        <f>IF(Table4[[#This Row],[avg_games_per_stream]] &gt; 2, "Variety", "Focused")</f>
        <v>Focused</v>
      </c>
      <c r="T618" s="4">
        <f>Table4[[#This Row],[avg_viewers_per_stream]] / Table4[[#This Row],[total_followers]]</f>
        <v>2.436864406779661E-2</v>
      </c>
    </row>
    <row r="619" spans="1:20">
      <c r="A619">
        <v>619</v>
      </c>
      <c r="B619" t="s">
        <v>831</v>
      </c>
      <c r="C619" t="s">
        <v>61</v>
      </c>
      <c r="D619" t="s">
        <v>39</v>
      </c>
      <c r="E619" t="s">
        <v>40</v>
      </c>
      <c r="F619" t="s">
        <v>380</v>
      </c>
      <c r="G619" s="3">
        <v>5.8</v>
      </c>
      <c r="H619">
        <v>280</v>
      </c>
      <c r="I619">
        <v>4772</v>
      </c>
      <c r="J619">
        <v>1.3</v>
      </c>
      <c r="K619">
        <v>13512</v>
      </c>
      <c r="L619" s="2">
        <v>67600</v>
      </c>
      <c r="M619" s="2">
        <v>11200000</v>
      </c>
      <c r="N619">
        <v>335</v>
      </c>
      <c r="O619">
        <v>5.9</v>
      </c>
      <c r="P619" t="s">
        <v>14</v>
      </c>
      <c r="Q619" t="s">
        <v>14</v>
      </c>
      <c r="R619" s="2">
        <f>Table4[[#This Row],[total_followers]]/(Table4[[#This Row],[total_time_streamed]] / 60)</f>
        <v>300.17761989342807</v>
      </c>
      <c r="S619" t="str">
        <f>IF(Table4[[#This Row],[avg_games_per_stream]] &gt; 2, "Variety", "Focused")</f>
        <v>Focused</v>
      </c>
      <c r="T619" s="4">
        <f>Table4[[#This Row],[avg_viewers_per_stream]] / Table4[[#This Row],[total_followers]]</f>
        <v>7.0591715976331362E-2</v>
      </c>
    </row>
    <row r="620" spans="1:20">
      <c r="A620">
        <v>620</v>
      </c>
      <c r="B620" t="s">
        <v>832</v>
      </c>
      <c r="C620" t="s">
        <v>63</v>
      </c>
      <c r="D620" t="s">
        <v>39</v>
      </c>
      <c r="E620" t="s">
        <v>56</v>
      </c>
      <c r="F620" t="s">
        <v>40</v>
      </c>
      <c r="G620" s="3">
        <v>4</v>
      </c>
      <c r="H620">
        <v>1167</v>
      </c>
      <c r="I620">
        <v>0</v>
      </c>
      <c r="J620">
        <v>2.1</v>
      </c>
      <c r="K620">
        <v>144</v>
      </c>
      <c r="L620" s="2">
        <v>454000</v>
      </c>
      <c r="M620" s="2">
        <v>0</v>
      </c>
      <c r="N620">
        <v>71</v>
      </c>
      <c r="O620">
        <v>3.8</v>
      </c>
      <c r="P620" t="s">
        <v>15</v>
      </c>
      <c r="Q620" t="s">
        <v>14</v>
      </c>
      <c r="R620" s="2">
        <f>Table4[[#This Row],[total_followers]]/(Table4[[#This Row],[total_time_streamed]] / 60)</f>
        <v>189166.66666666669</v>
      </c>
      <c r="S620" t="str">
        <f>IF(Table4[[#This Row],[avg_games_per_stream]] &gt; 2, "Variety", "Focused")</f>
        <v>Variety</v>
      </c>
      <c r="T620" s="4">
        <f>Table4[[#This Row],[avg_viewers_per_stream]] / Table4[[#This Row],[total_followers]]</f>
        <v>0</v>
      </c>
    </row>
    <row r="621" spans="1:20">
      <c r="A621">
        <v>621</v>
      </c>
      <c r="B621" t="s">
        <v>833</v>
      </c>
      <c r="C621" t="s">
        <v>3</v>
      </c>
      <c r="D621" t="s">
        <v>39</v>
      </c>
      <c r="E621" t="s">
        <v>40</v>
      </c>
      <c r="F621" t="s">
        <v>88</v>
      </c>
      <c r="G621" s="3">
        <v>4.7</v>
      </c>
      <c r="H621">
        <v>5400</v>
      </c>
      <c r="I621">
        <v>6655</v>
      </c>
      <c r="J621">
        <v>1.5</v>
      </c>
      <c r="K621">
        <v>4963</v>
      </c>
      <c r="L621" s="2">
        <v>616000</v>
      </c>
      <c r="M621" s="2">
        <v>7590000</v>
      </c>
      <c r="N621">
        <v>27</v>
      </c>
      <c r="O621">
        <v>4.2</v>
      </c>
      <c r="P621" t="s">
        <v>16</v>
      </c>
      <c r="Q621" t="s">
        <v>14</v>
      </c>
      <c r="R621" s="2">
        <f>Table4[[#This Row],[total_followers]]/(Table4[[#This Row],[total_time_streamed]] / 60)</f>
        <v>7447.1086036671368</v>
      </c>
      <c r="S621" t="str">
        <f>IF(Table4[[#This Row],[avg_games_per_stream]] &gt; 2, "Variety", "Focused")</f>
        <v>Focused</v>
      </c>
      <c r="T621" s="4">
        <f>Table4[[#This Row],[avg_viewers_per_stream]] / Table4[[#This Row],[total_followers]]</f>
        <v>1.0803571428571428E-2</v>
      </c>
    </row>
    <row r="622" spans="1:20">
      <c r="A622">
        <v>622</v>
      </c>
      <c r="B622" t="s">
        <v>834</v>
      </c>
      <c r="C622" t="s">
        <v>3</v>
      </c>
      <c r="D622" t="s">
        <v>39</v>
      </c>
      <c r="E622" t="s">
        <v>40</v>
      </c>
      <c r="F622" t="s">
        <v>835</v>
      </c>
      <c r="G622" s="3">
        <v>5.2</v>
      </c>
      <c r="H622">
        <v>1398</v>
      </c>
      <c r="I622">
        <v>0</v>
      </c>
      <c r="J622">
        <v>1.9</v>
      </c>
      <c r="K622">
        <v>8410</v>
      </c>
      <c r="L622" s="2">
        <v>218000</v>
      </c>
      <c r="M622" s="2">
        <v>0</v>
      </c>
      <c r="N622">
        <v>45</v>
      </c>
      <c r="O622">
        <v>5</v>
      </c>
      <c r="P622" t="s">
        <v>20</v>
      </c>
      <c r="Q622" t="s">
        <v>16</v>
      </c>
      <c r="R622" s="2">
        <f>Table4[[#This Row],[total_followers]]/(Table4[[#This Row],[total_time_streamed]] / 60)</f>
        <v>1555.2913198573128</v>
      </c>
      <c r="S622" t="str">
        <f>IF(Table4[[#This Row],[avg_games_per_stream]] &gt; 2, "Variety", "Focused")</f>
        <v>Focused</v>
      </c>
      <c r="T622" s="4">
        <f>Table4[[#This Row],[avg_viewers_per_stream]] / Table4[[#This Row],[total_followers]]</f>
        <v>0</v>
      </c>
    </row>
    <row r="623" spans="1:20">
      <c r="A623">
        <v>623</v>
      </c>
      <c r="B623" t="s">
        <v>836</v>
      </c>
      <c r="C623" t="s">
        <v>7</v>
      </c>
      <c r="D623" t="s">
        <v>39</v>
      </c>
      <c r="E623" t="s">
        <v>40</v>
      </c>
      <c r="F623" t="s">
        <v>66</v>
      </c>
      <c r="G623" s="3">
        <v>5.6</v>
      </c>
      <c r="H623">
        <v>163</v>
      </c>
      <c r="I623">
        <v>46649</v>
      </c>
      <c r="J623">
        <v>1.9</v>
      </c>
      <c r="K623">
        <v>11573</v>
      </c>
      <c r="L623" s="2">
        <v>3220000</v>
      </c>
      <c r="M623" s="2">
        <v>92200000</v>
      </c>
      <c r="N623">
        <v>163</v>
      </c>
      <c r="O623">
        <v>5.3</v>
      </c>
      <c r="P623" t="s">
        <v>16</v>
      </c>
      <c r="Q623" t="s">
        <v>16</v>
      </c>
      <c r="R623" s="2">
        <f>Table4[[#This Row],[total_followers]]/(Table4[[#This Row],[total_time_streamed]] / 60)</f>
        <v>16694.029205910309</v>
      </c>
      <c r="S623" t="str">
        <f>IF(Table4[[#This Row],[avg_games_per_stream]] &gt; 2, "Variety", "Focused")</f>
        <v>Focused</v>
      </c>
      <c r="T623" s="4">
        <f>Table4[[#This Row],[avg_viewers_per_stream]] / Table4[[#This Row],[total_followers]]</f>
        <v>1.4487267080745341E-2</v>
      </c>
    </row>
    <row r="624" spans="1:20">
      <c r="A624">
        <v>624</v>
      </c>
      <c r="B624" t="s">
        <v>837</v>
      </c>
      <c r="C624" t="s">
        <v>61</v>
      </c>
      <c r="D624" t="s">
        <v>39</v>
      </c>
      <c r="E624" t="s">
        <v>104</v>
      </c>
      <c r="F624" t="s">
        <v>104</v>
      </c>
      <c r="G624" s="3">
        <v>2.9</v>
      </c>
      <c r="H624">
        <v>2470</v>
      </c>
      <c r="I624">
        <v>15787</v>
      </c>
      <c r="J624">
        <v>1.1000000000000001</v>
      </c>
      <c r="K624">
        <v>9750</v>
      </c>
      <c r="L624" s="2">
        <v>90200</v>
      </c>
      <c r="M624" s="2">
        <v>5620000</v>
      </c>
      <c r="N624">
        <v>8</v>
      </c>
      <c r="O624">
        <v>1.8</v>
      </c>
      <c r="P624" t="s">
        <v>19</v>
      </c>
      <c r="Q624" t="s">
        <v>19</v>
      </c>
      <c r="R624" s="2">
        <f>Table4[[#This Row],[total_followers]]/(Table4[[#This Row],[total_time_streamed]] / 60)</f>
        <v>555.07692307692309</v>
      </c>
      <c r="S624" t="str">
        <f>IF(Table4[[#This Row],[avg_games_per_stream]] &gt; 2, "Variety", "Focused")</f>
        <v>Focused</v>
      </c>
      <c r="T624" s="4">
        <f>Table4[[#This Row],[avg_viewers_per_stream]] / Table4[[#This Row],[total_followers]]</f>
        <v>0.17502217294900221</v>
      </c>
    </row>
    <row r="625" spans="1:20">
      <c r="A625">
        <v>625</v>
      </c>
      <c r="B625" t="s">
        <v>838</v>
      </c>
      <c r="C625" t="s">
        <v>6</v>
      </c>
      <c r="D625" t="s">
        <v>39</v>
      </c>
      <c r="E625" t="s">
        <v>46</v>
      </c>
      <c r="F625" t="s">
        <v>40</v>
      </c>
      <c r="G625" s="3">
        <v>5.3</v>
      </c>
      <c r="H625">
        <v>1398</v>
      </c>
      <c r="I625">
        <v>81549</v>
      </c>
      <c r="J625">
        <v>1.8</v>
      </c>
      <c r="K625">
        <v>8884</v>
      </c>
      <c r="L625" s="2">
        <v>1840000</v>
      </c>
      <c r="M625" s="2">
        <v>107000000</v>
      </c>
      <c r="N625">
        <v>79</v>
      </c>
      <c r="O625">
        <v>4.2</v>
      </c>
      <c r="P625" t="s">
        <v>17</v>
      </c>
      <c r="Q625" t="s">
        <v>17</v>
      </c>
      <c r="R625" s="2">
        <f>Table4[[#This Row],[total_followers]]/(Table4[[#This Row],[total_time_streamed]] / 60)</f>
        <v>12426.834759117515</v>
      </c>
      <c r="S625" t="str">
        <f>IF(Table4[[#This Row],[avg_games_per_stream]] &gt; 2, "Variety", "Focused")</f>
        <v>Focused</v>
      </c>
      <c r="T625" s="4">
        <f>Table4[[#This Row],[avg_viewers_per_stream]] / Table4[[#This Row],[total_followers]]</f>
        <v>4.4320108695652172E-2</v>
      </c>
    </row>
    <row r="626" spans="1:20">
      <c r="A626">
        <v>626</v>
      </c>
      <c r="B626" t="s">
        <v>839</v>
      </c>
      <c r="C626" t="s">
        <v>3</v>
      </c>
      <c r="D626" t="s">
        <v>39</v>
      </c>
      <c r="E626" t="s">
        <v>220</v>
      </c>
      <c r="F626" t="s">
        <v>840</v>
      </c>
      <c r="G626" s="3">
        <v>2.2999999999999998</v>
      </c>
      <c r="H626">
        <v>50</v>
      </c>
      <c r="I626">
        <v>7300</v>
      </c>
      <c r="J626">
        <v>1.1000000000000001</v>
      </c>
      <c r="K626">
        <v>109</v>
      </c>
      <c r="L626" s="2">
        <v>2400</v>
      </c>
      <c r="M626" s="2">
        <v>348000</v>
      </c>
      <c r="N626">
        <v>76</v>
      </c>
      <c r="O626">
        <v>2.2000000000000002</v>
      </c>
      <c r="P626" t="s">
        <v>19</v>
      </c>
      <c r="Q626" t="s">
        <v>19</v>
      </c>
      <c r="R626" s="2">
        <f>Table4[[#This Row],[total_followers]]/(Table4[[#This Row],[total_time_streamed]] / 60)</f>
        <v>1321.1009174311928</v>
      </c>
      <c r="S626" t="str">
        <f>IF(Table4[[#This Row],[avg_games_per_stream]] &gt; 2, "Variety", "Focused")</f>
        <v>Focused</v>
      </c>
      <c r="T626" s="4">
        <f>Table4[[#This Row],[avg_viewers_per_stream]] / Table4[[#This Row],[total_followers]]</f>
        <v>3.0416666666666665</v>
      </c>
    </row>
    <row r="627" spans="1:20">
      <c r="A627">
        <v>627</v>
      </c>
      <c r="B627" t="s">
        <v>841</v>
      </c>
      <c r="C627" t="s">
        <v>4</v>
      </c>
      <c r="D627" t="s">
        <v>39</v>
      </c>
      <c r="E627" t="s">
        <v>88</v>
      </c>
      <c r="F627" t="s">
        <v>54</v>
      </c>
      <c r="G627" s="3">
        <v>4.3</v>
      </c>
      <c r="H627">
        <v>2930</v>
      </c>
      <c r="I627">
        <v>3634</v>
      </c>
      <c r="J627">
        <v>1.6</v>
      </c>
      <c r="K627">
        <v>4625</v>
      </c>
      <c r="L627" s="2">
        <v>298000</v>
      </c>
      <c r="M627" s="2">
        <v>3570000</v>
      </c>
      <c r="N627">
        <v>93</v>
      </c>
      <c r="O627">
        <v>3</v>
      </c>
      <c r="P627" t="s">
        <v>17</v>
      </c>
      <c r="Q627" t="s">
        <v>15</v>
      </c>
      <c r="R627" s="2">
        <f>Table4[[#This Row],[total_followers]]/(Table4[[#This Row],[total_time_streamed]] / 60)</f>
        <v>3865.9459459459463</v>
      </c>
      <c r="S627" t="str">
        <f>IF(Table4[[#This Row],[avg_games_per_stream]] &gt; 2, "Variety", "Focused")</f>
        <v>Focused</v>
      </c>
      <c r="T627" s="4">
        <f>Table4[[#This Row],[avg_viewers_per_stream]] / Table4[[#This Row],[total_followers]]</f>
        <v>1.2194630872483221E-2</v>
      </c>
    </row>
    <row r="628" spans="1:20">
      <c r="A628">
        <v>628</v>
      </c>
      <c r="B628" t="s">
        <v>842</v>
      </c>
      <c r="C628" t="s">
        <v>3</v>
      </c>
      <c r="D628" t="s">
        <v>39</v>
      </c>
      <c r="E628" t="s">
        <v>293</v>
      </c>
      <c r="F628" t="s">
        <v>327</v>
      </c>
      <c r="G628" s="3">
        <v>7.5</v>
      </c>
      <c r="H628">
        <v>1380</v>
      </c>
      <c r="I628">
        <v>9181</v>
      </c>
      <c r="J628">
        <v>1</v>
      </c>
      <c r="K628">
        <v>16166</v>
      </c>
      <c r="L628" s="2">
        <v>331000</v>
      </c>
      <c r="M628" s="2">
        <v>21800000</v>
      </c>
      <c r="N628">
        <v>3</v>
      </c>
      <c r="O628">
        <v>5.5</v>
      </c>
      <c r="P628" t="s">
        <v>17</v>
      </c>
      <c r="Q628" t="s">
        <v>15</v>
      </c>
      <c r="R628" s="2">
        <f>Table4[[#This Row],[total_followers]]/(Table4[[#This Row],[total_time_streamed]] / 60)</f>
        <v>1228.5042682172461</v>
      </c>
      <c r="S628" t="str">
        <f>IF(Table4[[#This Row],[avg_games_per_stream]] &gt; 2, "Variety", "Focused")</f>
        <v>Focused</v>
      </c>
      <c r="T628" s="4">
        <f>Table4[[#This Row],[avg_viewers_per_stream]] / Table4[[#This Row],[total_followers]]</f>
        <v>2.773716012084592E-2</v>
      </c>
    </row>
    <row r="629" spans="1:20">
      <c r="A629">
        <v>629</v>
      </c>
      <c r="B629" t="s">
        <v>843</v>
      </c>
      <c r="C629" t="s">
        <v>6</v>
      </c>
      <c r="D629" t="s">
        <v>39</v>
      </c>
      <c r="E629" t="s">
        <v>54</v>
      </c>
      <c r="F629" t="s">
        <v>224</v>
      </c>
      <c r="G629" s="3">
        <v>8</v>
      </c>
      <c r="H629">
        <v>2970</v>
      </c>
      <c r="I629">
        <v>3590</v>
      </c>
      <c r="J629">
        <v>1.6</v>
      </c>
      <c r="K629">
        <v>8152</v>
      </c>
      <c r="L629" s="2">
        <v>296000</v>
      </c>
      <c r="M629" s="2">
        <v>359000</v>
      </c>
      <c r="N629">
        <v>217</v>
      </c>
      <c r="O629">
        <v>3.2</v>
      </c>
      <c r="P629" t="s">
        <v>16</v>
      </c>
      <c r="Q629" t="s">
        <v>17</v>
      </c>
      <c r="R629" s="2">
        <f>Table4[[#This Row],[total_followers]]/(Table4[[#This Row],[total_time_streamed]] / 60)</f>
        <v>2178.6064769381746</v>
      </c>
      <c r="S629" t="str">
        <f>IF(Table4[[#This Row],[avg_games_per_stream]] &gt; 2, "Variety", "Focused")</f>
        <v>Focused</v>
      </c>
      <c r="T629" s="4">
        <f>Table4[[#This Row],[avg_viewers_per_stream]] / Table4[[#This Row],[total_followers]]</f>
        <v>1.2128378378378378E-2</v>
      </c>
    </row>
    <row r="630" spans="1:20">
      <c r="A630">
        <v>630</v>
      </c>
      <c r="B630" t="s">
        <v>844</v>
      </c>
      <c r="C630" t="s">
        <v>4</v>
      </c>
      <c r="D630" t="s">
        <v>39</v>
      </c>
      <c r="E630" t="s">
        <v>46</v>
      </c>
      <c r="F630" t="s">
        <v>121</v>
      </c>
      <c r="G630" s="3">
        <v>5.3</v>
      </c>
      <c r="H630">
        <v>1510</v>
      </c>
      <c r="I630">
        <v>4598</v>
      </c>
      <c r="J630">
        <v>1</v>
      </c>
      <c r="K630">
        <v>6063</v>
      </c>
      <c r="L630" s="2">
        <v>201000</v>
      </c>
      <c r="M630" s="2">
        <v>6130000</v>
      </c>
      <c r="N630">
        <v>15</v>
      </c>
      <c r="O630">
        <v>3.2</v>
      </c>
      <c r="P630" t="s">
        <v>16</v>
      </c>
      <c r="Q630" t="s">
        <v>16</v>
      </c>
      <c r="R630" s="2">
        <f>Table4[[#This Row],[total_followers]]/(Table4[[#This Row],[total_time_streamed]] / 60)</f>
        <v>1989.1142998515586</v>
      </c>
      <c r="S630" t="str">
        <f>IF(Table4[[#This Row],[avg_games_per_stream]] &gt; 2, "Variety", "Focused")</f>
        <v>Focused</v>
      </c>
      <c r="T630" s="4">
        <f>Table4[[#This Row],[avg_viewers_per_stream]] / Table4[[#This Row],[total_followers]]</f>
        <v>2.2875621890547263E-2</v>
      </c>
    </row>
    <row r="631" spans="1:20">
      <c r="A631">
        <v>631</v>
      </c>
      <c r="B631" t="s">
        <v>845</v>
      </c>
      <c r="C631" t="s">
        <v>160</v>
      </c>
      <c r="D631" t="s">
        <v>39</v>
      </c>
      <c r="E631" t="s">
        <v>40</v>
      </c>
      <c r="F631" t="s">
        <v>56</v>
      </c>
      <c r="G631" s="3">
        <v>5.8</v>
      </c>
      <c r="H631">
        <v>6940</v>
      </c>
      <c r="I631">
        <v>5500</v>
      </c>
      <c r="J631">
        <v>1.6</v>
      </c>
      <c r="K631">
        <v>1724</v>
      </c>
      <c r="L631" s="2">
        <v>231000</v>
      </c>
      <c r="M631" s="2">
        <v>183000</v>
      </c>
      <c r="N631">
        <v>34</v>
      </c>
      <c r="O631">
        <v>1.7</v>
      </c>
      <c r="P631" t="s">
        <v>14</v>
      </c>
      <c r="Q631" t="s">
        <v>15</v>
      </c>
      <c r="R631" s="2">
        <f>Table4[[#This Row],[total_followers]]/(Table4[[#This Row],[total_time_streamed]] / 60)</f>
        <v>8039.4431554524363</v>
      </c>
      <c r="S631" t="str">
        <f>IF(Table4[[#This Row],[avg_games_per_stream]] &gt; 2, "Variety", "Focused")</f>
        <v>Focused</v>
      </c>
      <c r="T631" s="4">
        <f>Table4[[#This Row],[avg_viewers_per_stream]] / Table4[[#This Row],[total_followers]]</f>
        <v>2.3809523809523808E-2</v>
      </c>
    </row>
    <row r="632" spans="1:20">
      <c r="A632">
        <v>632</v>
      </c>
      <c r="B632" t="s">
        <v>846</v>
      </c>
      <c r="C632" t="s">
        <v>3</v>
      </c>
      <c r="D632" t="s">
        <v>39</v>
      </c>
      <c r="E632" t="s">
        <v>602</v>
      </c>
      <c r="G632" s="3">
        <v>23.9</v>
      </c>
      <c r="H632">
        <v>3710</v>
      </c>
      <c r="I632">
        <v>0</v>
      </c>
      <c r="J632">
        <v>1</v>
      </c>
      <c r="K632">
        <v>10655</v>
      </c>
      <c r="L632" s="2">
        <v>85900</v>
      </c>
      <c r="M632" s="2">
        <v>0</v>
      </c>
      <c r="N632">
        <v>1</v>
      </c>
      <c r="O632">
        <v>7</v>
      </c>
      <c r="P632" t="s">
        <v>20</v>
      </c>
      <c r="Q632" t="s">
        <v>16</v>
      </c>
      <c r="R632" s="2">
        <f>Table4[[#This Row],[total_followers]]/(Table4[[#This Row],[total_time_streamed]] / 60)</f>
        <v>483.71656499296103</v>
      </c>
      <c r="S632" t="str">
        <f>IF(Table4[[#This Row],[avg_games_per_stream]] &gt; 2, "Variety", "Focused")</f>
        <v>Focused</v>
      </c>
      <c r="T632" s="4">
        <f>Table4[[#This Row],[avg_viewers_per_stream]] / Table4[[#This Row],[total_followers]]</f>
        <v>0</v>
      </c>
    </row>
    <row r="633" spans="1:20">
      <c r="A633">
        <v>633</v>
      </c>
      <c r="B633" t="s">
        <v>847</v>
      </c>
      <c r="C633" t="s">
        <v>3</v>
      </c>
      <c r="D633" t="s">
        <v>39</v>
      </c>
      <c r="E633" t="s">
        <v>109</v>
      </c>
      <c r="F633" t="s">
        <v>466</v>
      </c>
      <c r="G633" s="3">
        <v>7.2</v>
      </c>
      <c r="H633">
        <v>1700</v>
      </c>
      <c r="I633">
        <v>4904</v>
      </c>
      <c r="J633">
        <v>1.1000000000000001</v>
      </c>
      <c r="K633">
        <v>15497</v>
      </c>
      <c r="L633" s="2">
        <v>390000</v>
      </c>
      <c r="M633" s="2">
        <v>11200000</v>
      </c>
      <c r="N633">
        <v>77</v>
      </c>
      <c r="O633">
        <v>6.1</v>
      </c>
      <c r="P633" t="s">
        <v>16</v>
      </c>
      <c r="Q633" t="s">
        <v>14</v>
      </c>
      <c r="R633" s="2">
        <f>Table4[[#This Row],[total_followers]]/(Table4[[#This Row],[total_time_streamed]] / 60)</f>
        <v>1509.9696715493319</v>
      </c>
      <c r="S633" t="str">
        <f>IF(Table4[[#This Row],[avg_games_per_stream]] &gt; 2, "Variety", "Focused")</f>
        <v>Focused</v>
      </c>
      <c r="T633" s="4">
        <f>Table4[[#This Row],[avg_viewers_per_stream]] / Table4[[#This Row],[total_followers]]</f>
        <v>1.2574358974358974E-2</v>
      </c>
    </row>
    <row r="634" spans="1:20">
      <c r="A634">
        <v>634</v>
      </c>
      <c r="B634" t="s">
        <v>848</v>
      </c>
      <c r="C634" t="s">
        <v>3</v>
      </c>
      <c r="D634" t="s">
        <v>39</v>
      </c>
      <c r="E634" t="s">
        <v>199</v>
      </c>
      <c r="F634" t="s">
        <v>696</v>
      </c>
      <c r="G634" s="3">
        <v>9.8000000000000007</v>
      </c>
      <c r="H634">
        <v>1150</v>
      </c>
      <c r="I634">
        <v>12454</v>
      </c>
      <c r="J634">
        <v>1.1000000000000001</v>
      </c>
      <c r="K634">
        <v>23204</v>
      </c>
      <c r="L634" s="2">
        <v>432000</v>
      </c>
      <c r="M634" s="2">
        <v>48200000</v>
      </c>
      <c r="N634">
        <v>111</v>
      </c>
      <c r="O634">
        <v>6.7</v>
      </c>
      <c r="P634" t="s">
        <v>18</v>
      </c>
      <c r="Q634" t="s">
        <v>14</v>
      </c>
      <c r="R634" s="2">
        <f>Table4[[#This Row],[total_followers]]/(Table4[[#This Row],[total_time_streamed]] / 60)</f>
        <v>1117.0487846922945</v>
      </c>
      <c r="S634" t="str">
        <f>IF(Table4[[#This Row],[avg_games_per_stream]] &gt; 2, "Variety", "Focused")</f>
        <v>Focused</v>
      </c>
      <c r="T634" s="4">
        <f>Table4[[#This Row],[avg_viewers_per_stream]] / Table4[[#This Row],[total_followers]]</f>
        <v>2.8828703703703704E-2</v>
      </c>
    </row>
    <row r="635" spans="1:20">
      <c r="A635">
        <v>635</v>
      </c>
      <c r="B635" t="s">
        <v>849</v>
      </c>
      <c r="C635" t="s">
        <v>4</v>
      </c>
      <c r="D635" t="s">
        <v>39</v>
      </c>
      <c r="E635" t="s">
        <v>40</v>
      </c>
      <c r="F635" t="s">
        <v>209</v>
      </c>
      <c r="G635" s="3">
        <v>7.7</v>
      </c>
      <c r="H635">
        <v>530</v>
      </c>
      <c r="I635">
        <v>6913</v>
      </c>
      <c r="J635">
        <v>1.5</v>
      </c>
      <c r="K635">
        <v>15535</v>
      </c>
      <c r="L635" s="2">
        <v>109000</v>
      </c>
      <c r="M635" s="2">
        <v>14200000</v>
      </c>
      <c r="N635">
        <v>631</v>
      </c>
      <c r="O635">
        <v>6.1</v>
      </c>
      <c r="P635" t="s">
        <v>14</v>
      </c>
      <c r="Q635" t="s">
        <v>14</v>
      </c>
      <c r="R635" s="2">
        <f>Table4[[#This Row],[total_followers]]/(Table4[[#This Row],[total_time_streamed]] / 60)</f>
        <v>420.98487286771802</v>
      </c>
      <c r="S635" t="str">
        <f>IF(Table4[[#This Row],[avg_games_per_stream]] &gt; 2, "Variety", "Focused")</f>
        <v>Focused</v>
      </c>
      <c r="T635" s="4">
        <f>Table4[[#This Row],[avg_viewers_per_stream]] / Table4[[#This Row],[total_followers]]</f>
        <v>6.3422018348623849E-2</v>
      </c>
    </row>
    <row r="636" spans="1:20">
      <c r="A636">
        <v>636</v>
      </c>
      <c r="B636" t="s">
        <v>850</v>
      </c>
      <c r="C636" t="s">
        <v>63</v>
      </c>
      <c r="D636" t="s">
        <v>39</v>
      </c>
      <c r="E636" t="s">
        <v>595</v>
      </c>
      <c r="G636" s="3">
        <v>16.3</v>
      </c>
      <c r="H636">
        <v>120</v>
      </c>
      <c r="I636">
        <v>0</v>
      </c>
      <c r="J636">
        <v>1</v>
      </c>
      <c r="K636">
        <v>650</v>
      </c>
      <c r="L636" s="2">
        <v>23</v>
      </c>
      <c r="M636" s="2">
        <v>0</v>
      </c>
      <c r="N636">
        <v>1</v>
      </c>
      <c r="O636">
        <v>2.5</v>
      </c>
      <c r="P636" t="s">
        <v>20</v>
      </c>
      <c r="Q636" t="s">
        <v>15</v>
      </c>
      <c r="R636" s="2">
        <f>Table4[[#This Row],[total_followers]]/(Table4[[#This Row],[total_time_streamed]] / 60)</f>
        <v>2.1230769230769231</v>
      </c>
      <c r="S636" t="str">
        <f>IF(Table4[[#This Row],[avg_games_per_stream]] &gt; 2, "Variety", "Focused")</f>
        <v>Focused</v>
      </c>
      <c r="T636" s="4">
        <f>Table4[[#This Row],[avg_viewers_per_stream]] / Table4[[#This Row],[total_followers]]</f>
        <v>0</v>
      </c>
    </row>
    <row r="637" spans="1:20">
      <c r="A637">
        <v>637</v>
      </c>
      <c r="B637" t="s">
        <v>851</v>
      </c>
      <c r="C637" t="s">
        <v>3</v>
      </c>
      <c r="D637" t="s">
        <v>39</v>
      </c>
      <c r="E637" t="s">
        <v>88</v>
      </c>
      <c r="F637" t="s">
        <v>271</v>
      </c>
      <c r="G637" s="3">
        <v>6.2</v>
      </c>
      <c r="H637">
        <v>4020</v>
      </c>
      <c r="I637">
        <v>9730</v>
      </c>
      <c r="J637">
        <v>1.1000000000000001</v>
      </c>
      <c r="K637">
        <v>6473</v>
      </c>
      <c r="L637" s="2">
        <v>428000</v>
      </c>
      <c r="M637" s="2">
        <v>1040000</v>
      </c>
      <c r="N637">
        <v>18</v>
      </c>
      <c r="O637">
        <v>5.6</v>
      </c>
      <c r="P637" t="s">
        <v>14</v>
      </c>
      <c r="Q637" t="s">
        <v>14</v>
      </c>
      <c r="R637" s="2">
        <f>Table4[[#This Row],[total_followers]]/(Table4[[#This Row],[total_time_streamed]] / 60)</f>
        <v>3967.2485709871771</v>
      </c>
      <c r="S637" t="str">
        <f>IF(Table4[[#This Row],[avg_games_per_stream]] &gt; 2, "Variety", "Focused")</f>
        <v>Focused</v>
      </c>
      <c r="T637" s="4">
        <f>Table4[[#This Row],[avg_viewers_per_stream]] / Table4[[#This Row],[total_followers]]</f>
        <v>2.2733644859813083E-2</v>
      </c>
    </row>
    <row r="638" spans="1:20">
      <c r="A638">
        <v>638</v>
      </c>
      <c r="B638" t="s">
        <v>852</v>
      </c>
      <c r="C638" t="s">
        <v>6</v>
      </c>
      <c r="D638" t="s">
        <v>39</v>
      </c>
      <c r="E638" t="s">
        <v>46</v>
      </c>
      <c r="F638" t="s">
        <v>54</v>
      </c>
      <c r="G638" s="3">
        <v>4</v>
      </c>
      <c r="H638">
        <v>8620</v>
      </c>
      <c r="I638">
        <v>10706</v>
      </c>
      <c r="J638">
        <v>1.2</v>
      </c>
      <c r="K638">
        <v>1923</v>
      </c>
      <c r="L638" s="2">
        <v>334000</v>
      </c>
      <c r="M638" s="2">
        <v>4150000</v>
      </c>
      <c r="N638">
        <v>21</v>
      </c>
      <c r="O638">
        <v>1.2</v>
      </c>
      <c r="P638" t="s">
        <v>20</v>
      </c>
      <c r="Q638" t="s">
        <v>14</v>
      </c>
      <c r="R638" s="2">
        <f>Table4[[#This Row],[total_followers]]/(Table4[[#This Row],[total_time_streamed]] / 60)</f>
        <v>10421.216848673948</v>
      </c>
      <c r="S638" t="str">
        <f>IF(Table4[[#This Row],[avg_games_per_stream]] &gt; 2, "Variety", "Focused")</f>
        <v>Focused</v>
      </c>
      <c r="T638" s="4">
        <f>Table4[[#This Row],[avg_viewers_per_stream]] / Table4[[#This Row],[total_followers]]</f>
        <v>3.2053892215568862E-2</v>
      </c>
    </row>
    <row r="639" spans="1:20">
      <c r="A639">
        <v>639</v>
      </c>
      <c r="B639" t="s">
        <v>853</v>
      </c>
      <c r="C639" t="s">
        <v>61</v>
      </c>
      <c r="D639" t="s">
        <v>39</v>
      </c>
      <c r="E639" t="s">
        <v>123</v>
      </c>
      <c r="F639" t="s">
        <v>46</v>
      </c>
      <c r="G639" s="3">
        <v>4.8</v>
      </c>
      <c r="H639">
        <v>2550</v>
      </c>
      <c r="I639">
        <v>11892</v>
      </c>
      <c r="J639">
        <v>1.9</v>
      </c>
      <c r="K639">
        <v>8609</v>
      </c>
      <c r="L639" s="2">
        <v>479000</v>
      </c>
      <c r="M639" s="2">
        <v>22300000</v>
      </c>
      <c r="N639">
        <v>468</v>
      </c>
      <c r="O639">
        <v>5.0999999999999996</v>
      </c>
      <c r="P639" t="s">
        <v>14</v>
      </c>
      <c r="Q639" t="s">
        <v>14</v>
      </c>
      <c r="R639" s="2">
        <f>Table4[[#This Row],[total_followers]]/(Table4[[#This Row],[total_time_streamed]] / 60)</f>
        <v>3338.3668254152635</v>
      </c>
      <c r="S639" t="str">
        <f>IF(Table4[[#This Row],[avg_games_per_stream]] &gt; 2, "Variety", "Focused")</f>
        <v>Focused</v>
      </c>
      <c r="T639" s="4">
        <f>Table4[[#This Row],[avg_viewers_per_stream]] / Table4[[#This Row],[total_followers]]</f>
        <v>2.4826722338204592E-2</v>
      </c>
    </row>
    <row r="640" spans="1:20">
      <c r="A640">
        <v>640</v>
      </c>
      <c r="B640" t="s">
        <v>854</v>
      </c>
      <c r="C640" t="s">
        <v>63</v>
      </c>
      <c r="D640" t="s">
        <v>39</v>
      </c>
      <c r="E640" t="s">
        <v>64</v>
      </c>
      <c r="F640" t="s">
        <v>56</v>
      </c>
      <c r="G640" s="3">
        <v>4</v>
      </c>
      <c r="H640">
        <v>1290</v>
      </c>
      <c r="I640">
        <v>46619</v>
      </c>
      <c r="J640">
        <v>1.3</v>
      </c>
      <c r="K640">
        <v>1997</v>
      </c>
      <c r="L640" s="2">
        <v>71600</v>
      </c>
      <c r="M640" s="2">
        <v>26500000</v>
      </c>
      <c r="N640">
        <v>15</v>
      </c>
      <c r="O640">
        <v>1.8</v>
      </c>
      <c r="P640" t="s">
        <v>16</v>
      </c>
      <c r="Q640" t="s">
        <v>16</v>
      </c>
      <c r="R640" s="2">
        <f>Table4[[#This Row],[total_followers]]/(Table4[[#This Row],[total_time_streamed]] / 60)</f>
        <v>2151.2268402603909</v>
      </c>
      <c r="S640" t="str">
        <f>IF(Table4[[#This Row],[avg_games_per_stream]] &gt; 2, "Variety", "Focused")</f>
        <v>Focused</v>
      </c>
      <c r="T640" s="4">
        <f>Table4[[#This Row],[avg_viewers_per_stream]] / Table4[[#This Row],[total_followers]]</f>
        <v>0.65110335195530722</v>
      </c>
    </row>
    <row r="641" spans="1:20">
      <c r="A641">
        <v>641</v>
      </c>
      <c r="B641" t="s">
        <v>855</v>
      </c>
      <c r="C641" t="s">
        <v>61</v>
      </c>
      <c r="D641" t="s">
        <v>39</v>
      </c>
      <c r="E641" t="s">
        <v>66</v>
      </c>
      <c r="F641" t="s">
        <v>40</v>
      </c>
      <c r="G641" s="3">
        <v>4.7</v>
      </c>
      <c r="H641">
        <v>3300</v>
      </c>
      <c r="I641">
        <v>2658</v>
      </c>
      <c r="J641">
        <v>2.2000000000000002</v>
      </c>
      <c r="K641">
        <v>5085</v>
      </c>
      <c r="L641" s="2">
        <v>318000</v>
      </c>
      <c r="M641" s="2">
        <v>2570000</v>
      </c>
      <c r="N641">
        <v>95</v>
      </c>
      <c r="O641">
        <v>2.8</v>
      </c>
      <c r="P641" t="s">
        <v>17</v>
      </c>
      <c r="Q641" t="s">
        <v>17</v>
      </c>
      <c r="R641" s="2">
        <f>Table4[[#This Row],[total_followers]]/(Table4[[#This Row],[total_time_streamed]] / 60)</f>
        <v>3752.212389380531</v>
      </c>
      <c r="S641" t="str">
        <f>IF(Table4[[#This Row],[avg_games_per_stream]] &gt; 2, "Variety", "Focused")</f>
        <v>Variety</v>
      </c>
      <c r="T641" s="4">
        <f>Table4[[#This Row],[avg_viewers_per_stream]] / Table4[[#This Row],[total_followers]]</f>
        <v>8.3584905660377355E-3</v>
      </c>
    </row>
    <row r="642" spans="1:20">
      <c r="A642">
        <v>642</v>
      </c>
      <c r="B642" t="s">
        <v>856</v>
      </c>
      <c r="C642" t="s">
        <v>3</v>
      </c>
      <c r="D642" t="s">
        <v>39</v>
      </c>
      <c r="E642" t="s">
        <v>85</v>
      </c>
      <c r="G642" s="3">
        <v>2.9</v>
      </c>
      <c r="H642">
        <v>10</v>
      </c>
      <c r="I642">
        <v>0</v>
      </c>
      <c r="J642">
        <v>1</v>
      </c>
      <c r="K642">
        <v>320</v>
      </c>
      <c r="L642" s="2">
        <v>30000</v>
      </c>
      <c r="M642" s="2">
        <v>0</v>
      </c>
      <c r="N642">
        <v>1</v>
      </c>
      <c r="O642">
        <v>1.6</v>
      </c>
      <c r="P642" t="s">
        <v>17</v>
      </c>
      <c r="Q642" t="s">
        <v>19</v>
      </c>
      <c r="R642" s="2">
        <f>Table4[[#This Row],[total_followers]]/(Table4[[#This Row],[total_time_streamed]] / 60)</f>
        <v>5625</v>
      </c>
      <c r="S642" t="str">
        <f>IF(Table4[[#This Row],[avg_games_per_stream]] &gt; 2, "Variety", "Focused")</f>
        <v>Focused</v>
      </c>
      <c r="T642" s="4">
        <f>Table4[[#This Row],[avg_viewers_per_stream]] / Table4[[#This Row],[total_followers]]</f>
        <v>0</v>
      </c>
    </row>
    <row r="643" spans="1:20">
      <c r="A643">
        <v>643</v>
      </c>
      <c r="B643" t="s">
        <v>857</v>
      </c>
      <c r="C643" t="s">
        <v>3</v>
      </c>
      <c r="D643" t="s">
        <v>39</v>
      </c>
      <c r="E643" t="s">
        <v>858</v>
      </c>
      <c r="F643" t="s">
        <v>859</v>
      </c>
      <c r="G643" s="3">
        <v>7.7</v>
      </c>
      <c r="H643">
        <v>2070</v>
      </c>
      <c r="I643">
        <v>6323</v>
      </c>
      <c r="J643">
        <v>1.2</v>
      </c>
      <c r="K643">
        <v>13297</v>
      </c>
      <c r="L643" s="2">
        <v>360000</v>
      </c>
      <c r="M643" s="2">
        <v>11300000</v>
      </c>
      <c r="N643">
        <v>48</v>
      </c>
      <c r="O643">
        <v>4.4000000000000004</v>
      </c>
      <c r="P643" t="s">
        <v>15</v>
      </c>
      <c r="Q643" t="s">
        <v>16</v>
      </c>
      <c r="R643" s="2">
        <f>Table4[[#This Row],[total_followers]]/(Table4[[#This Row],[total_time_streamed]] / 60)</f>
        <v>1624.4265623824922</v>
      </c>
      <c r="S643" t="str">
        <f>IF(Table4[[#This Row],[avg_games_per_stream]] &gt; 2, "Variety", "Focused")</f>
        <v>Focused</v>
      </c>
      <c r="T643" s="4">
        <f>Table4[[#This Row],[avg_viewers_per_stream]] / Table4[[#This Row],[total_followers]]</f>
        <v>1.7563888888888889E-2</v>
      </c>
    </row>
    <row r="644" spans="1:20">
      <c r="A644">
        <v>644</v>
      </c>
      <c r="B644" t="s">
        <v>860</v>
      </c>
      <c r="C644" t="s">
        <v>248</v>
      </c>
      <c r="D644" t="s">
        <v>39</v>
      </c>
      <c r="E644" t="s">
        <v>64</v>
      </c>
      <c r="F644" t="s">
        <v>104</v>
      </c>
      <c r="G644" s="3">
        <v>13.1</v>
      </c>
      <c r="H644">
        <v>1770</v>
      </c>
      <c r="I644">
        <v>0</v>
      </c>
      <c r="J644">
        <v>1</v>
      </c>
      <c r="K644">
        <v>4845</v>
      </c>
      <c r="L644" s="2">
        <v>99900</v>
      </c>
      <c r="M644" s="2">
        <v>286</v>
      </c>
      <c r="N644">
        <v>3</v>
      </c>
      <c r="O644">
        <v>3.4</v>
      </c>
      <c r="P644" t="s">
        <v>14</v>
      </c>
      <c r="Q644" t="s">
        <v>14</v>
      </c>
      <c r="R644" s="2">
        <f>Table4[[#This Row],[total_followers]]/(Table4[[#This Row],[total_time_streamed]] / 60)</f>
        <v>1237.1517027863777</v>
      </c>
      <c r="S644" t="str">
        <f>IF(Table4[[#This Row],[avg_games_per_stream]] &gt; 2, "Variety", "Focused")</f>
        <v>Focused</v>
      </c>
      <c r="T644" s="4">
        <f>Table4[[#This Row],[avg_viewers_per_stream]] / Table4[[#This Row],[total_followers]]</f>
        <v>0</v>
      </c>
    </row>
    <row r="645" spans="1:20">
      <c r="A645">
        <v>645</v>
      </c>
      <c r="B645" t="s">
        <v>861</v>
      </c>
      <c r="C645" t="s">
        <v>160</v>
      </c>
      <c r="D645" t="s">
        <v>39</v>
      </c>
      <c r="E645" t="s">
        <v>40</v>
      </c>
      <c r="F645" t="s">
        <v>46</v>
      </c>
      <c r="G645" s="3">
        <v>4.5999999999999996</v>
      </c>
      <c r="H645">
        <v>8010</v>
      </c>
      <c r="I645">
        <v>20163</v>
      </c>
      <c r="J645">
        <v>2</v>
      </c>
      <c r="K645">
        <v>3462</v>
      </c>
      <c r="L645" s="2">
        <v>461000</v>
      </c>
      <c r="M645" s="2">
        <v>11600000</v>
      </c>
      <c r="N645">
        <v>119</v>
      </c>
      <c r="O645">
        <v>2.2000000000000002</v>
      </c>
      <c r="P645" t="s">
        <v>18</v>
      </c>
      <c r="Q645" t="s">
        <v>14</v>
      </c>
      <c r="R645" s="2">
        <f>Table4[[#This Row],[total_followers]]/(Table4[[#This Row],[total_time_streamed]] / 60)</f>
        <v>7989.6013864818024</v>
      </c>
      <c r="S645" t="str">
        <f>IF(Table4[[#This Row],[avg_games_per_stream]] &gt; 2, "Variety", "Focused")</f>
        <v>Focused</v>
      </c>
      <c r="T645" s="4">
        <f>Table4[[#This Row],[avg_viewers_per_stream]] / Table4[[#This Row],[total_followers]]</f>
        <v>4.3737527114967464E-2</v>
      </c>
    </row>
    <row r="646" spans="1:20">
      <c r="A646">
        <v>646</v>
      </c>
      <c r="B646" t="s">
        <v>862</v>
      </c>
      <c r="C646" t="s">
        <v>3</v>
      </c>
      <c r="D646" t="s">
        <v>39</v>
      </c>
      <c r="E646" t="s">
        <v>43</v>
      </c>
      <c r="F646" t="s">
        <v>12</v>
      </c>
      <c r="G646" s="3">
        <v>3.5</v>
      </c>
      <c r="H646">
        <v>9670</v>
      </c>
      <c r="I646">
        <v>6158</v>
      </c>
      <c r="J646">
        <v>1.1000000000000001</v>
      </c>
      <c r="K646">
        <v>1822</v>
      </c>
      <c r="L646" s="2">
        <v>512000</v>
      </c>
      <c r="M646" s="2">
        <v>3260000</v>
      </c>
      <c r="N646">
        <v>21</v>
      </c>
      <c r="O646">
        <v>1.9</v>
      </c>
      <c r="P646" t="s">
        <v>15</v>
      </c>
      <c r="Q646" t="s">
        <v>16</v>
      </c>
      <c r="R646" s="2">
        <f>Table4[[#This Row],[total_followers]]/(Table4[[#This Row],[total_time_streamed]] / 60)</f>
        <v>16860.592755214049</v>
      </c>
      <c r="S646" t="str">
        <f>IF(Table4[[#This Row],[avg_games_per_stream]] &gt; 2, "Variety", "Focused")</f>
        <v>Focused</v>
      </c>
      <c r="T646" s="4">
        <f>Table4[[#This Row],[avg_viewers_per_stream]] / Table4[[#This Row],[total_followers]]</f>
        <v>1.2027343750000001E-2</v>
      </c>
    </row>
    <row r="647" spans="1:20">
      <c r="A647">
        <v>647</v>
      </c>
      <c r="B647" t="s">
        <v>863</v>
      </c>
      <c r="C647" t="s">
        <v>7</v>
      </c>
      <c r="D647" t="s">
        <v>39</v>
      </c>
      <c r="E647" t="s">
        <v>40</v>
      </c>
      <c r="F647" t="s">
        <v>864</v>
      </c>
      <c r="G647" s="3">
        <v>4.5</v>
      </c>
      <c r="H647">
        <v>2104</v>
      </c>
      <c r="I647">
        <v>26495</v>
      </c>
      <c r="J647">
        <v>2.2000000000000002</v>
      </c>
      <c r="K647">
        <v>7725</v>
      </c>
      <c r="L647" s="2">
        <v>3360000</v>
      </c>
      <c r="M647" s="2">
        <v>42300000</v>
      </c>
      <c r="N647">
        <v>183</v>
      </c>
      <c r="O647">
        <v>4.8</v>
      </c>
      <c r="P647" t="s">
        <v>19</v>
      </c>
      <c r="Q647" t="s">
        <v>14</v>
      </c>
      <c r="R647" s="2">
        <f>Table4[[#This Row],[total_followers]]/(Table4[[#This Row],[total_time_streamed]] / 60)</f>
        <v>26097.087378640776</v>
      </c>
      <c r="S647" t="str">
        <f>IF(Table4[[#This Row],[avg_games_per_stream]] &gt; 2, "Variety", "Focused")</f>
        <v>Variety</v>
      </c>
      <c r="T647" s="4">
        <f>Table4[[#This Row],[avg_viewers_per_stream]] / Table4[[#This Row],[total_followers]]</f>
        <v>7.8854166666666673E-3</v>
      </c>
    </row>
    <row r="648" spans="1:20">
      <c r="A648">
        <v>648</v>
      </c>
      <c r="B648" t="s">
        <v>865</v>
      </c>
      <c r="C648" t="s">
        <v>91</v>
      </c>
      <c r="D648" t="s">
        <v>39</v>
      </c>
      <c r="E648" t="s">
        <v>104</v>
      </c>
      <c r="F648" t="s">
        <v>240</v>
      </c>
      <c r="G648" s="3">
        <v>2.5</v>
      </c>
      <c r="H648">
        <v>2550</v>
      </c>
      <c r="I648">
        <v>1610</v>
      </c>
      <c r="J648">
        <v>1</v>
      </c>
      <c r="K648">
        <v>4740</v>
      </c>
      <c r="L648" s="2">
        <v>59100</v>
      </c>
      <c r="M648" s="2">
        <v>37100</v>
      </c>
      <c r="N648">
        <v>3</v>
      </c>
      <c r="O648">
        <v>1.2</v>
      </c>
      <c r="P648" t="s">
        <v>16</v>
      </c>
      <c r="Q648" t="s">
        <v>16</v>
      </c>
      <c r="R648" s="2">
        <f>Table4[[#This Row],[total_followers]]/(Table4[[#This Row],[total_time_streamed]] / 60)</f>
        <v>748.10126582278485</v>
      </c>
      <c r="S648" t="str">
        <f>IF(Table4[[#This Row],[avg_games_per_stream]] &gt; 2, "Variety", "Focused")</f>
        <v>Focused</v>
      </c>
      <c r="T648" s="4">
        <f>Table4[[#This Row],[avg_viewers_per_stream]] / Table4[[#This Row],[total_followers]]</f>
        <v>2.72419627749577E-2</v>
      </c>
    </row>
    <row r="649" spans="1:20">
      <c r="A649">
        <v>649</v>
      </c>
      <c r="B649" t="s">
        <v>866</v>
      </c>
      <c r="C649" t="s">
        <v>4</v>
      </c>
      <c r="D649" t="s">
        <v>39</v>
      </c>
      <c r="E649" t="s">
        <v>46</v>
      </c>
      <c r="F649" t="s">
        <v>199</v>
      </c>
      <c r="G649" s="3">
        <v>4.9000000000000004</v>
      </c>
      <c r="H649">
        <v>3550</v>
      </c>
      <c r="I649">
        <v>22342</v>
      </c>
      <c r="J649">
        <v>1.2</v>
      </c>
      <c r="K649">
        <v>569</v>
      </c>
      <c r="L649" s="2">
        <v>447000</v>
      </c>
      <c r="M649" s="2">
        <v>26900000</v>
      </c>
      <c r="N649">
        <v>78</v>
      </c>
      <c r="O649">
        <v>3</v>
      </c>
      <c r="P649" t="s">
        <v>14</v>
      </c>
      <c r="Q649" t="s">
        <v>15</v>
      </c>
      <c r="R649" s="2">
        <f>Table4[[#This Row],[total_followers]]/(Table4[[#This Row],[total_time_streamed]] / 60)</f>
        <v>47135.325131810197</v>
      </c>
      <c r="S649" t="str">
        <f>IF(Table4[[#This Row],[avg_games_per_stream]] &gt; 2, "Variety", "Focused")</f>
        <v>Focused</v>
      </c>
      <c r="T649" s="4">
        <f>Table4[[#This Row],[avg_viewers_per_stream]] / Table4[[#This Row],[total_followers]]</f>
        <v>4.9982102908277405E-2</v>
      </c>
    </row>
    <row r="650" spans="1:20">
      <c r="A650">
        <v>650</v>
      </c>
      <c r="B650" t="s">
        <v>867</v>
      </c>
      <c r="C650" t="s">
        <v>7</v>
      </c>
      <c r="D650" t="s">
        <v>39</v>
      </c>
      <c r="E650" t="s">
        <v>107</v>
      </c>
      <c r="F650" t="s">
        <v>550</v>
      </c>
      <c r="G650" s="3">
        <v>2.6</v>
      </c>
      <c r="H650">
        <v>5010</v>
      </c>
      <c r="I650">
        <v>178</v>
      </c>
      <c r="J650">
        <v>1</v>
      </c>
      <c r="K650">
        <v>2812</v>
      </c>
      <c r="L650" s="2">
        <v>554000</v>
      </c>
      <c r="M650" s="2">
        <v>1970000</v>
      </c>
      <c r="N650">
        <v>15</v>
      </c>
      <c r="O650">
        <v>5.0999999999999996</v>
      </c>
      <c r="P650" t="s">
        <v>17</v>
      </c>
      <c r="Q650" t="s">
        <v>16</v>
      </c>
      <c r="R650" s="2">
        <f>Table4[[#This Row],[total_followers]]/(Table4[[#This Row],[total_time_streamed]] / 60)</f>
        <v>11820.76813655761</v>
      </c>
      <c r="S650" t="str">
        <f>IF(Table4[[#This Row],[avg_games_per_stream]] &gt; 2, "Variety", "Focused")</f>
        <v>Focused</v>
      </c>
      <c r="T650" s="4">
        <f>Table4[[#This Row],[avg_viewers_per_stream]] / Table4[[#This Row],[total_followers]]</f>
        <v>3.2129963898916967E-4</v>
      </c>
    </row>
    <row r="651" spans="1:20">
      <c r="A651">
        <v>651</v>
      </c>
      <c r="B651" t="s">
        <v>868</v>
      </c>
      <c r="C651" t="s">
        <v>7</v>
      </c>
      <c r="D651" t="s">
        <v>39</v>
      </c>
      <c r="E651" t="s">
        <v>40</v>
      </c>
      <c r="G651" s="3">
        <v>1.4</v>
      </c>
      <c r="H651">
        <v>4203</v>
      </c>
      <c r="I651">
        <v>0</v>
      </c>
      <c r="J651">
        <v>1</v>
      </c>
      <c r="K651">
        <v>690</v>
      </c>
      <c r="L651" s="2">
        <v>207000</v>
      </c>
      <c r="M651" s="2">
        <v>0</v>
      </c>
      <c r="N651">
        <v>1</v>
      </c>
      <c r="O651">
        <v>2.9</v>
      </c>
      <c r="P651" t="s">
        <v>16</v>
      </c>
      <c r="Q651" t="s">
        <v>15</v>
      </c>
      <c r="R651" s="2">
        <f>Table4[[#This Row],[total_followers]]/(Table4[[#This Row],[total_time_streamed]] / 60)</f>
        <v>18000</v>
      </c>
      <c r="S651" t="str">
        <f>IF(Table4[[#This Row],[avg_games_per_stream]] &gt; 2, "Variety", "Focused")</f>
        <v>Focused</v>
      </c>
      <c r="T651" s="4">
        <f>Table4[[#This Row],[avg_viewers_per_stream]] / Table4[[#This Row],[total_followers]]</f>
        <v>0</v>
      </c>
    </row>
    <row r="652" spans="1:20">
      <c r="A652">
        <v>652</v>
      </c>
      <c r="B652" t="s">
        <v>869</v>
      </c>
      <c r="C652" t="s">
        <v>6</v>
      </c>
      <c r="D652" t="s">
        <v>39</v>
      </c>
      <c r="E652" t="s">
        <v>46</v>
      </c>
      <c r="F652" t="s">
        <v>123</v>
      </c>
      <c r="G652" s="3">
        <v>6.9</v>
      </c>
      <c r="H652">
        <v>4750</v>
      </c>
      <c r="I652">
        <v>31951</v>
      </c>
      <c r="J652">
        <v>1.6</v>
      </c>
      <c r="K652">
        <v>1316</v>
      </c>
      <c r="L652" s="2">
        <v>897000</v>
      </c>
      <c r="M652" s="2">
        <v>60800000</v>
      </c>
      <c r="N652">
        <v>90</v>
      </c>
      <c r="O652">
        <v>4.8</v>
      </c>
      <c r="P652" t="s">
        <v>15</v>
      </c>
      <c r="Q652" t="s">
        <v>20</v>
      </c>
      <c r="R652" s="2">
        <f>Table4[[#This Row],[total_followers]]/(Table4[[#This Row],[total_time_streamed]] / 60)</f>
        <v>40896.656534954403</v>
      </c>
      <c r="S652" t="str">
        <f>IF(Table4[[#This Row],[avg_games_per_stream]] &gt; 2, "Variety", "Focused")</f>
        <v>Focused</v>
      </c>
      <c r="T652" s="4">
        <f>Table4[[#This Row],[avg_viewers_per_stream]] / Table4[[#This Row],[total_followers]]</f>
        <v>3.5619843924191749E-2</v>
      </c>
    </row>
    <row r="653" spans="1:20">
      <c r="A653">
        <v>653</v>
      </c>
      <c r="B653" t="s">
        <v>870</v>
      </c>
      <c r="C653" t="s">
        <v>3</v>
      </c>
      <c r="D653" t="s">
        <v>39</v>
      </c>
      <c r="E653" t="s">
        <v>290</v>
      </c>
      <c r="F653" t="s">
        <v>291</v>
      </c>
      <c r="G653" s="3">
        <v>12.9</v>
      </c>
      <c r="H653">
        <v>2476</v>
      </c>
      <c r="I653">
        <v>387406</v>
      </c>
      <c r="J653">
        <v>4.0999999999999996</v>
      </c>
      <c r="K653">
        <v>1407</v>
      </c>
      <c r="L653" s="2">
        <v>236000</v>
      </c>
      <c r="M653" s="2">
        <v>32000000</v>
      </c>
      <c r="N653">
        <v>126</v>
      </c>
      <c r="O653">
        <v>0.3</v>
      </c>
      <c r="P653" t="s">
        <v>18</v>
      </c>
      <c r="Q653" t="s">
        <v>19</v>
      </c>
      <c r="R653" s="2">
        <f>Table4[[#This Row],[total_followers]]/(Table4[[#This Row],[total_time_streamed]] / 60)</f>
        <v>10063.965884861407</v>
      </c>
      <c r="S653" t="str">
        <f>IF(Table4[[#This Row],[avg_games_per_stream]] &gt; 2, "Variety", "Focused")</f>
        <v>Variety</v>
      </c>
      <c r="T653" s="4">
        <f>Table4[[#This Row],[avg_viewers_per_stream]] / Table4[[#This Row],[total_followers]]</f>
        <v>1.641550847457627</v>
      </c>
    </row>
    <row r="654" spans="1:20">
      <c r="A654">
        <v>654</v>
      </c>
      <c r="B654" t="s">
        <v>871</v>
      </c>
      <c r="C654" t="s">
        <v>3</v>
      </c>
      <c r="D654" t="s">
        <v>58</v>
      </c>
      <c r="E654" t="s">
        <v>46</v>
      </c>
      <c r="F654" t="s">
        <v>123</v>
      </c>
      <c r="G654" s="3">
        <v>6.1</v>
      </c>
      <c r="H654">
        <v>3630</v>
      </c>
      <c r="I654">
        <v>22513</v>
      </c>
      <c r="J654">
        <v>1</v>
      </c>
      <c r="K654">
        <v>9609</v>
      </c>
      <c r="L654" s="2">
        <v>659000</v>
      </c>
      <c r="M654" s="2">
        <v>40100000</v>
      </c>
      <c r="N654">
        <v>21</v>
      </c>
      <c r="O654">
        <v>4</v>
      </c>
      <c r="P654" t="s">
        <v>14</v>
      </c>
      <c r="Q654" t="s">
        <v>15</v>
      </c>
      <c r="R654" s="2">
        <f>Table4[[#This Row],[total_followers]]/(Table4[[#This Row],[total_time_streamed]] / 60)</f>
        <v>4114.8922884795502</v>
      </c>
      <c r="S654" t="str">
        <f>IF(Table4[[#This Row],[avg_games_per_stream]] &gt; 2, "Variety", "Focused")</f>
        <v>Focused</v>
      </c>
      <c r="T654" s="4">
        <f>Table4[[#This Row],[avg_viewers_per_stream]] / Table4[[#This Row],[total_followers]]</f>
        <v>3.4162367223065253E-2</v>
      </c>
    </row>
    <row r="655" spans="1:20">
      <c r="A655">
        <v>655</v>
      </c>
      <c r="B655" t="s">
        <v>872</v>
      </c>
      <c r="C655" t="s">
        <v>229</v>
      </c>
      <c r="D655" t="s">
        <v>39</v>
      </c>
      <c r="E655" t="s">
        <v>873</v>
      </c>
      <c r="F655" t="s">
        <v>874</v>
      </c>
      <c r="G655" s="3">
        <v>4.8</v>
      </c>
      <c r="H655">
        <v>750</v>
      </c>
      <c r="I655">
        <v>2410</v>
      </c>
      <c r="J655">
        <v>1.2</v>
      </c>
      <c r="K655">
        <v>3831</v>
      </c>
      <c r="L655" s="2">
        <v>62000</v>
      </c>
      <c r="M655" s="2">
        <v>199000</v>
      </c>
      <c r="N655">
        <v>11</v>
      </c>
      <c r="O655">
        <v>5.8</v>
      </c>
      <c r="P655" t="s">
        <v>17</v>
      </c>
      <c r="Q655" t="s">
        <v>14</v>
      </c>
      <c r="R655" s="2">
        <f>Table4[[#This Row],[total_followers]]/(Table4[[#This Row],[total_time_streamed]] / 60)</f>
        <v>971.02584181675797</v>
      </c>
      <c r="S655" t="str">
        <f>IF(Table4[[#This Row],[avg_games_per_stream]] &gt; 2, "Variety", "Focused")</f>
        <v>Focused</v>
      </c>
      <c r="T655" s="4">
        <f>Table4[[#This Row],[avg_viewers_per_stream]] / Table4[[#This Row],[total_followers]]</f>
        <v>3.8870967741935485E-2</v>
      </c>
    </row>
    <row r="656" spans="1:20">
      <c r="A656">
        <v>656</v>
      </c>
      <c r="B656" t="s">
        <v>875</v>
      </c>
      <c r="C656" t="s">
        <v>248</v>
      </c>
      <c r="D656" t="s">
        <v>39</v>
      </c>
      <c r="E656" t="s">
        <v>56</v>
      </c>
      <c r="F656" t="s">
        <v>193</v>
      </c>
      <c r="G656" s="3">
        <v>8.8000000000000007</v>
      </c>
      <c r="H656">
        <v>3720</v>
      </c>
      <c r="I656">
        <v>4070</v>
      </c>
      <c r="J656">
        <v>1</v>
      </c>
      <c r="K656">
        <v>3944</v>
      </c>
      <c r="L656" s="2">
        <v>186000</v>
      </c>
      <c r="M656" s="2">
        <v>203000</v>
      </c>
      <c r="N656">
        <v>3</v>
      </c>
      <c r="O656">
        <v>4</v>
      </c>
      <c r="P656" t="s">
        <v>15</v>
      </c>
      <c r="Q656" t="s">
        <v>14</v>
      </c>
      <c r="R656" s="2">
        <f>Table4[[#This Row],[total_followers]]/(Table4[[#This Row],[total_time_streamed]] / 60)</f>
        <v>2829.6146044624747</v>
      </c>
      <c r="S656" t="str">
        <f>IF(Table4[[#This Row],[avg_games_per_stream]] &gt; 2, "Variety", "Focused")</f>
        <v>Focused</v>
      </c>
      <c r="T656" s="4">
        <f>Table4[[#This Row],[avg_viewers_per_stream]] / Table4[[#This Row],[total_followers]]</f>
        <v>2.1881720430107526E-2</v>
      </c>
    </row>
    <row r="657" spans="1:20">
      <c r="A657">
        <v>657</v>
      </c>
      <c r="B657" t="s">
        <v>876</v>
      </c>
      <c r="C657" t="s">
        <v>4</v>
      </c>
      <c r="D657" t="s">
        <v>39</v>
      </c>
      <c r="E657" t="s">
        <v>121</v>
      </c>
      <c r="F657" t="s">
        <v>54</v>
      </c>
      <c r="G657" s="3">
        <v>1.8</v>
      </c>
      <c r="H657">
        <v>7670</v>
      </c>
      <c r="I657">
        <v>2380</v>
      </c>
      <c r="J657">
        <v>1.2</v>
      </c>
      <c r="K657">
        <v>2420</v>
      </c>
      <c r="L657" s="2">
        <v>91400</v>
      </c>
      <c r="M657" s="2">
        <v>28500</v>
      </c>
      <c r="N657">
        <v>8</v>
      </c>
      <c r="O657">
        <v>0.9</v>
      </c>
      <c r="P657" t="s">
        <v>17</v>
      </c>
      <c r="Q657" t="s">
        <v>18</v>
      </c>
      <c r="R657" s="2">
        <f>Table4[[#This Row],[total_followers]]/(Table4[[#This Row],[total_time_streamed]] / 60)</f>
        <v>2266.1157024793388</v>
      </c>
      <c r="S657" t="str">
        <f>IF(Table4[[#This Row],[avg_games_per_stream]] &gt; 2, "Variety", "Focused")</f>
        <v>Focused</v>
      </c>
      <c r="T657" s="4">
        <f>Table4[[#This Row],[avg_viewers_per_stream]] / Table4[[#This Row],[total_followers]]</f>
        <v>2.6039387308533918E-2</v>
      </c>
    </row>
    <row r="658" spans="1:20">
      <c r="A658">
        <v>658</v>
      </c>
      <c r="B658" t="s">
        <v>877</v>
      </c>
      <c r="C658" t="s">
        <v>5</v>
      </c>
      <c r="D658" t="s">
        <v>39</v>
      </c>
      <c r="E658" t="s">
        <v>96</v>
      </c>
      <c r="F658" t="s">
        <v>68</v>
      </c>
      <c r="G658" s="3">
        <v>3.4</v>
      </c>
      <c r="H658">
        <v>2590</v>
      </c>
      <c r="I658">
        <v>1488</v>
      </c>
      <c r="J658">
        <v>1.1000000000000001</v>
      </c>
      <c r="K658">
        <v>2115</v>
      </c>
      <c r="L658" s="2">
        <v>193000</v>
      </c>
      <c r="M658" s="2">
        <v>1100000</v>
      </c>
      <c r="N658">
        <v>54</v>
      </c>
      <c r="O658">
        <v>2.9</v>
      </c>
      <c r="P658" t="s">
        <v>18</v>
      </c>
      <c r="Q658" t="s">
        <v>14</v>
      </c>
      <c r="R658" s="2">
        <f>Table4[[#This Row],[total_followers]]/(Table4[[#This Row],[total_time_streamed]] / 60)</f>
        <v>5475.177304964539</v>
      </c>
      <c r="S658" t="str">
        <f>IF(Table4[[#This Row],[avg_games_per_stream]] &gt; 2, "Variety", "Focused")</f>
        <v>Focused</v>
      </c>
      <c r="T658" s="4">
        <f>Table4[[#This Row],[avg_viewers_per_stream]] / Table4[[#This Row],[total_followers]]</f>
        <v>7.7098445595854921E-3</v>
      </c>
    </row>
    <row r="659" spans="1:20">
      <c r="A659">
        <v>659</v>
      </c>
      <c r="B659" t="s">
        <v>878</v>
      </c>
      <c r="C659" t="s">
        <v>3</v>
      </c>
      <c r="D659" t="s">
        <v>39</v>
      </c>
      <c r="E659" t="s">
        <v>66</v>
      </c>
      <c r="F659" t="s">
        <v>40</v>
      </c>
      <c r="G659" s="3">
        <v>5.8</v>
      </c>
      <c r="H659">
        <v>5970</v>
      </c>
      <c r="I659">
        <v>7240</v>
      </c>
      <c r="J659">
        <v>1.8</v>
      </c>
      <c r="K659">
        <v>2221</v>
      </c>
      <c r="L659" s="2">
        <v>217000</v>
      </c>
      <c r="M659" s="2">
        <v>264000</v>
      </c>
      <c r="N659">
        <v>39</v>
      </c>
      <c r="O659">
        <v>2.1</v>
      </c>
      <c r="P659" t="s">
        <v>19</v>
      </c>
      <c r="Q659" t="s">
        <v>20</v>
      </c>
      <c r="R659" s="2">
        <f>Table4[[#This Row],[total_followers]]/(Table4[[#This Row],[total_time_streamed]] / 60)</f>
        <v>5862.224223322828</v>
      </c>
      <c r="S659" t="str">
        <f>IF(Table4[[#This Row],[avg_games_per_stream]] &gt; 2, "Variety", "Focused")</f>
        <v>Focused</v>
      </c>
      <c r="T659" s="4">
        <f>Table4[[#This Row],[avg_viewers_per_stream]] / Table4[[#This Row],[total_followers]]</f>
        <v>3.3364055299539168E-2</v>
      </c>
    </row>
    <row r="660" spans="1:20">
      <c r="A660">
        <v>660</v>
      </c>
      <c r="B660" t="s">
        <v>879</v>
      </c>
      <c r="C660" t="s">
        <v>6</v>
      </c>
      <c r="D660" t="s">
        <v>39</v>
      </c>
      <c r="E660" t="s">
        <v>85</v>
      </c>
      <c r="F660" t="s">
        <v>98</v>
      </c>
      <c r="G660" s="3">
        <v>18.7</v>
      </c>
      <c r="H660">
        <v>410</v>
      </c>
      <c r="I660">
        <v>0</v>
      </c>
      <c r="J660">
        <v>1.6</v>
      </c>
      <c r="K660">
        <v>1120</v>
      </c>
      <c r="L660" s="2">
        <v>1500</v>
      </c>
      <c r="M660" s="2">
        <v>0</v>
      </c>
      <c r="N660">
        <v>2</v>
      </c>
      <c r="O660">
        <v>1.6</v>
      </c>
      <c r="P660" t="s">
        <v>17</v>
      </c>
      <c r="Q660" t="s">
        <v>15</v>
      </c>
      <c r="R660" s="2">
        <f>Table4[[#This Row],[total_followers]]/(Table4[[#This Row],[total_time_streamed]] / 60)</f>
        <v>80.357142857142847</v>
      </c>
      <c r="S660" t="str">
        <f>IF(Table4[[#This Row],[avg_games_per_stream]] &gt; 2, "Variety", "Focused")</f>
        <v>Focused</v>
      </c>
      <c r="T660" s="4">
        <f>Table4[[#This Row],[avg_viewers_per_stream]] / Table4[[#This Row],[total_followers]]</f>
        <v>0</v>
      </c>
    </row>
    <row r="661" spans="1:20">
      <c r="A661">
        <v>661</v>
      </c>
      <c r="B661" t="s">
        <v>880</v>
      </c>
      <c r="C661" t="s">
        <v>4</v>
      </c>
      <c r="D661" t="s">
        <v>39</v>
      </c>
      <c r="E661" t="s">
        <v>40</v>
      </c>
      <c r="F661" t="s">
        <v>12</v>
      </c>
      <c r="G661" s="3">
        <v>4</v>
      </c>
      <c r="H661">
        <v>6710</v>
      </c>
      <c r="I661">
        <v>1149</v>
      </c>
      <c r="J661">
        <v>1.1000000000000001</v>
      </c>
      <c r="K661">
        <v>2437</v>
      </c>
      <c r="L661" s="2">
        <v>433000</v>
      </c>
      <c r="M661" s="2">
        <v>741000</v>
      </c>
      <c r="N661">
        <v>17</v>
      </c>
      <c r="O661">
        <v>2.7</v>
      </c>
      <c r="P661" t="s">
        <v>19</v>
      </c>
      <c r="Q661" t="s">
        <v>14</v>
      </c>
      <c r="R661" s="2">
        <f>Table4[[#This Row],[total_followers]]/(Table4[[#This Row],[total_time_streamed]] / 60)</f>
        <v>10660.64833812064</v>
      </c>
      <c r="S661" t="str">
        <f>IF(Table4[[#This Row],[avg_games_per_stream]] &gt; 2, "Variety", "Focused")</f>
        <v>Focused</v>
      </c>
      <c r="T661" s="4">
        <f>Table4[[#This Row],[avg_viewers_per_stream]] / Table4[[#This Row],[total_followers]]</f>
        <v>2.6535796766743651E-3</v>
      </c>
    </row>
    <row r="662" spans="1:20">
      <c r="A662">
        <v>662</v>
      </c>
      <c r="B662" t="s">
        <v>881</v>
      </c>
      <c r="C662" t="s">
        <v>6</v>
      </c>
      <c r="D662" t="s">
        <v>39</v>
      </c>
      <c r="E662" t="s">
        <v>157</v>
      </c>
      <c r="F662" t="s">
        <v>145</v>
      </c>
      <c r="G662" s="3">
        <v>5.6</v>
      </c>
      <c r="H662">
        <v>2230</v>
      </c>
      <c r="I662">
        <v>1254</v>
      </c>
      <c r="J662">
        <v>1.1000000000000001</v>
      </c>
      <c r="K662">
        <v>6622</v>
      </c>
      <c r="L662" s="2">
        <v>285000</v>
      </c>
      <c r="M662" s="2">
        <v>1600000</v>
      </c>
      <c r="N662">
        <v>13</v>
      </c>
      <c r="O662">
        <v>5.6</v>
      </c>
      <c r="P662" t="s">
        <v>18</v>
      </c>
      <c r="Q662" t="s">
        <v>14</v>
      </c>
      <c r="R662" s="2">
        <f>Table4[[#This Row],[total_followers]]/(Table4[[#This Row],[total_time_streamed]] / 60)</f>
        <v>2582.3014195107221</v>
      </c>
      <c r="S662" t="str">
        <f>IF(Table4[[#This Row],[avg_games_per_stream]] &gt; 2, "Variety", "Focused")</f>
        <v>Focused</v>
      </c>
      <c r="T662" s="4">
        <f>Table4[[#This Row],[avg_viewers_per_stream]] / Table4[[#This Row],[total_followers]]</f>
        <v>4.4000000000000003E-3</v>
      </c>
    </row>
    <row r="663" spans="1:20">
      <c r="A663">
        <v>663</v>
      </c>
      <c r="B663" t="s">
        <v>882</v>
      </c>
      <c r="C663" t="s">
        <v>3</v>
      </c>
      <c r="D663" t="s">
        <v>39</v>
      </c>
      <c r="E663" t="s">
        <v>40</v>
      </c>
      <c r="F663" t="s">
        <v>224</v>
      </c>
      <c r="G663" s="3">
        <v>2.9</v>
      </c>
      <c r="H663">
        <v>2140</v>
      </c>
      <c r="I663">
        <v>6030</v>
      </c>
      <c r="J663">
        <v>1.8</v>
      </c>
      <c r="K663">
        <v>27</v>
      </c>
      <c r="L663" s="2">
        <v>163000</v>
      </c>
      <c r="M663" s="2">
        <v>460000</v>
      </c>
      <c r="N663">
        <v>178</v>
      </c>
      <c r="O663">
        <v>2.9</v>
      </c>
      <c r="P663" t="s">
        <v>14</v>
      </c>
      <c r="Q663" t="s">
        <v>17</v>
      </c>
      <c r="R663" s="2">
        <f>Table4[[#This Row],[total_followers]]/(Table4[[#This Row],[total_time_streamed]] / 60)</f>
        <v>362222.22222222219</v>
      </c>
      <c r="S663" t="str">
        <f>IF(Table4[[#This Row],[avg_games_per_stream]] &gt; 2, "Variety", "Focused")</f>
        <v>Focused</v>
      </c>
      <c r="T663" s="4">
        <f>Table4[[#This Row],[avg_viewers_per_stream]] / Table4[[#This Row],[total_followers]]</f>
        <v>3.6993865030674845E-2</v>
      </c>
    </row>
    <row r="664" spans="1:20">
      <c r="A664">
        <v>664</v>
      </c>
      <c r="B664" t="s">
        <v>883</v>
      </c>
      <c r="C664" t="s">
        <v>7</v>
      </c>
      <c r="D664" t="s">
        <v>39</v>
      </c>
      <c r="E664" t="s">
        <v>88</v>
      </c>
      <c r="F664" t="s">
        <v>537</v>
      </c>
      <c r="G664" s="3">
        <v>2.5</v>
      </c>
      <c r="H664">
        <v>5530</v>
      </c>
      <c r="I664">
        <v>3862</v>
      </c>
      <c r="J664">
        <v>1.1000000000000001</v>
      </c>
      <c r="K664">
        <v>2153</v>
      </c>
      <c r="L664" s="2">
        <v>589000</v>
      </c>
      <c r="M664" s="2">
        <v>3850000</v>
      </c>
      <c r="N664">
        <v>71</v>
      </c>
      <c r="O664">
        <v>5.2</v>
      </c>
      <c r="P664" t="s">
        <v>15</v>
      </c>
      <c r="Q664" t="s">
        <v>14</v>
      </c>
      <c r="R664" s="2">
        <f>Table4[[#This Row],[total_followers]]/(Table4[[#This Row],[total_time_streamed]] / 60)</f>
        <v>16414.305620065024</v>
      </c>
      <c r="S664" t="str">
        <f>IF(Table4[[#This Row],[avg_games_per_stream]] &gt; 2, "Variety", "Focused")</f>
        <v>Focused</v>
      </c>
      <c r="T664" s="4">
        <f>Table4[[#This Row],[avg_viewers_per_stream]] / Table4[[#This Row],[total_followers]]</f>
        <v>6.5568760611205432E-3</v>
      </c>
    </row>
    <row r="665" spans="1:20">
      <c r="A665">
        <v>665</v>
      </c>
      <c r="B665" t="s">
        <v>884</v>
      </c>
      <c r="C665" t="s">
        <v>2</v>
      </c>
      <c r="D665" t="s">
        <v>39</v>
      </c>
      <c r="E665" t="s">
        <v>46</v>
      </c>
      <c r="F665" t="s">
        <v>40</v>
      </c>
      <c r="G665" s="3">
        <v>5.2</v>
      </c>
      <c r="H665">
        <v>960</v>
      </c>
      <c r="I665">
        <v>9655</v>
      </c>
      <c r="J665">
        <v>1.5</v>
      </c>
      <c r="K665">
        <v>6407</v>
      </c>
      <c r="L665" s="2">
        <v>132000</v>
      </c>
      <c r="M665" s="2">
        <v>13300000</v>
      </c>
      <c r="N665">
        <v>89</v>
      </c>
      <c r="O665">
        <v>3.6</v>
      </c>
      <c r="P665" t="s">
        <v>17</v>
      </c>
      <c r="Q665" t="s">
        <v>16</v>
      </c>
      <c r="R665" s="2">
        <f>Table4[[#This Row],[total_followers]]/(Table4[[#This Row],[total_time_streamed]] / 60)</f>
        <v>1236.147963165288</v>
      </c>
      <c r="S665" t="str">
        <f>IF(Table4[[#This Row],[avg_games_per_stream]] &gt; 2, "Variety", "Focused")</f>
        <v>Focused</v>
      </c>
      <c r="T665" s="4">
        <f>Table4[[#This Row],[avg_viewers_per_stream]] / Table4[[#This Row],[total_followers]]</f>
        <v>7.31439393939394E-2</v>
      </c>
    </row>
    <row r="666" spans="1:20">
      <c r="A666">
        <v>666</v>
      </c>
      <c r="B666" t="s">
        <v>885</v>
      </c>
      <c r="C666" t="s">
        <v>63</v>
      </c>
      <c r="D666" t="s">
        <v>39</v>
      </c>
      <c r="E666" t="s">
        <v>595</v>
      </c>
      <c r="G666" s="3">
        <v>6</v>
      </c>
      <c r="H666">
        <v>0</v>
      </c>
      <c r="I666">
        <v>0</v>
      </c>
      <c r="J666">
        <v>1</v>
      </c>
      <c r="K666">
        <v>60</v>
      </c>
      <c r="L666" s="2">
        <v>0</v>
      </c>
      <c r="M666" s="2">
        <v>0</v>
      </c>
      <c r="N666">
        <v>1</v>
      </c>
      <c r="O666">
        <v>0.2</v>
      </c>
      <c r="P666" t="s">
        <v>20</v>
      </c>
      <c r="Q666" t="s">
        <v>16</v>
      </c>
      <c r="R666" s="2">
        <f>Table4[[#This Row],[total_followers]]/(Table4[[#This Row],[total_time_streamed]] / 60)</f>
        <v>0</v>
      </c>
      <c r="S666" t="str">
        <f>IF(Table4[[#This Row],[avg_games_per_stream]] &gt; 2, "Variety", "Focused")</f>
        <v>Focused</v>
      </c>
      <c r="T666" s="4" t="e">
        <f>Table4[[#This Row],[avg_viewers_per_stream]] / Table4[[#This Row],[total_followers]]</f>
        <v>#DIV/0!</v>
      </c>
    </row>
    <row r="667" spans="1:20">
      <c r="A667">
        <v>667</v>
      </c>
      <c r="B667" t="s">
        <v>886</v>
      </c>
      <c r="C667" t="s">
        <v>6</v>
      </c>
      <c r="D667" t="s">
        <v>39</v>
      </c>
      <c r="E667" t="s">
        <v>85</v>
      </c>
      <c r="F667" t="s">
        <v>98</v>
      </c>
      <c r="G667" s="3">
        <v>12.9</v>
      </c>
      <c r="H667">
        <v>110</v>
      </c>
      <c r="I667">
        <v>0</v>
      </c>
      <c r="J667">
        <v>1.5</v>
      </c>
      <c r="K667">
        <v>260</v>
      </c>
      <c r="L667" s="2">
        <v>1300</v>
      </c>
      <c r="M667" s="2">
        <v>0</v>
      </c>
      <c r="N667">
        <v>2</v>
      </c>
      <c r="O667">
        <v>0.7</v>
      </c>
      <c r="P667" t="s">
        <v>16</v>
      </c>
      <c r="Q667" t="s">
        <v>17</v>
      </c>
      <c r="R667" s="2">
        <f>Table4[[#This Row],[total_followers]]/(Table4[[#This Row],[total_time_streamed]] / 60)</f>
        <v>300</v>
      </c>
      <c r="S667" t="str">
        <f>IF(Table4[[#This Row],[avg_games_per_stream]] &gt; 2, "Variety", "Focused")</f>
        <v>Focused</v>
      </c>
      <c r="T667" s="4">
        <f>Table4[[#This Row],[avg_viewers_per_stream]] / Table4[[#This Row],[total_followers]]</f>
        <v>0</v>
      </c>
    </row>
    <row r="668" spans="1:20">
      <c r="A668">
        <v>668</v>
      </c>
      <c r="B668" t="s">
        <v>887</v>
      </c>
      <c r="C668" t="s">
        <v>4</v>
      </c>
      <c r="D668" t="s">
        <v>58</v>
      </c>
      <c r="E668" t="s">
        <v>79</v>
      </c>
      <c r="F668" t="s">
        <v>40</v>
      </c>
      <c r="G668" s="3">
        <v>5.4</v>
      </c>
      <c r="H668">
        <v>3670</v>
      </c>
      <c r="I668">
        <v>25016</v>
      </c>
      <c r="J668">
        <v>1.6</v>
      </c>
      <c r="K668">
        <v>9101</v>
      </c>
      <c r="L668" s="2">
        <v>623000</v>
      </c>
      <c r="M668" s="2">
        <v>40900000</v>
      </c>
      <c r="N668">
        <v>356</v>
      </c>
      <c r="O668">
        <v>4.3</v>
      </c>
      <c r="P668" t="s">
        <v>18</v>
      </c>
      <c r="Q668" t="s">
        <v>14</v>
      </c>
      <c r="R668" s="2">
        <f>Table4[[#This Row],[total_followers]]/(Table4[[#This Row],[total_time_streamed]] / 60)</f>
        <v>4107.2409625315895</v>
      </c>
      <c r="S668" t="str">
        <f>IF(Table4[[#This Row],[avg_games_per_stream]] &gt; 2, "Variety", "Focused")</f>
        <v>Focused</v>
      </c>
      <c r="T668" s="4">
        <f>Table4[[#This Row],[avg_viewers_per_stream]] / Table4[[#This Row],[total_followers]]</f>
        <v>4.0154093097913325E-2</v>
      </c>
    </row>
    <row r="669" spans="1:20">
      <c r="A669">
        <v>669</v>
      </c>
      <c r="B669" t="s">
        <v>888</v>
      </c>
      <c r="C669" t="s">
        <v>63</v>
      </c>
      <c r="D669" t="s">
        <v>39</v>
      </c>
      <c r="E669" t="s">
        <v>40</v>
      </c>
      <c r="F669" t="s">
        <v>889</v>
      </c>
      <c r="G669" s="3">
        <v>5.3</v>
      </c>
      <c r="H669">
        <v>4180</v>
      </c>
      <c r="I669">
        <v>21509</v>
      </c>
      <c r="J669">
        <v>2.6</v>
      </c>
      <c r="K669">
        <v>3007</v>
      </c>
      <c r="L669" s="2">
        <v>242000</v>
      </c>
      <c r="M669" s="2">
        <v>12000000</v>
      </c>
      <c r="N669">
        <v>239</v>
      </c>
      <c r="O669">
        <v>1.9</v>
      </c>
      <c r="P669" t="s">
        <v>20</v>
      </c>
      <c r="Q669" t="s">
        <v>14</v>
      </c>
      <c r="R669" s="2">
        <f>Table4[[#This Row],[total_followers]]/(Table4[[#This Row],[total_time_streamed]] / 60)</f>
        <v>4828.7329564349848</v>
      </c>
      <c r="S669" t="str">
        <f>IF(Table4[[#This Row],[avg_games_per_stream]] &gt; 2, "Variety", "Focused")</f>
        <v>Variety</v>
      </c>
      <c r="T669" s="4">
        <f>Table4[[#This Row],[avg_viewers_per_stream]] / Table4[[#This Row],[total_followers]]</f>
        <v>8.8880165289256199E-2</v>
      </c>
    </row>
    <row r="670" spans="1:20">
      <c r="A670">
        <v>670</v>
      </c>
      <c r="B670" t="s">
        <v>890</v>
      </c>
      <c r="C670" t="s">
        <v>3</v>
      </c>
      <c r="D670" t="s">
        <v>39</v>
      </c>
      <c r="E670" t="s">
        <v>40</v>
      </c>
      <c r="F670" t="s">
        <v>891</v>
      </c>
      <c r="G670" s="3">
        <v>4.9000000000000004</v>
      </c>
      <c r="H670">
        <v>7510</v>
      </c>
      <c r="I670">
        <v>7055</v>
      </c>
      <c r="J670">
        <v>1.8</v>
      </c>
      <c r="K670">
        <v>3496</v>
      </c>
      <c r="L670" s="2">
        <v>484000</v>
      </c>
      <c r="M670" s="2">
        <v>4550000</v>
      </c>
      <c r="N670">
        <v>214</v>
      </c>
      <c r="O670">
        <v>2.2000000000000002</v>
      </c>
      <c r="P670" t="s">
        <v>18</v>
      </c>
      <c r="Q670" t="s">
        <v>19</v>
      </c>
      <c r="R670" s="2">
        <f>Table4[[#This Row],[total_followers]]/(Table4[[#This Row],[total_time_streamed]] / 60)</f>
        <v>8306.6361556064076</v>
      </c>
      <c r="S670" t="str">
        <f>IF(Table4[[#This Row],[avg_games_per_stream]] &gt; 2, "Variety", "Focused")</f>
        <v>Focused</v>
      </c>
      <c r="T670" s="4">
        <f>Table4[[#This Row],[avg_viewers_per_stream]] / Table4[[#This Row],[total_followers]]</f>
        <v>1.4576446280991735E-2</v>
      </c>
    </row>
    <row r="671" spans="1:20">
      <c r="A671">
        <v>671</v>
      </c>
      <c r="B671" t="s">
        <v>892</v>
      </c>
      <c r="C671" t="s">
        <v>63</v>
      </c>
      <c r="D671" t="s">
        <v>39</v>
      </c>
      <c r="E671" t="s">
        <v>199</v>
      </c>
      <c r="F671" t="s">
        <v>70</v>
      </c>
      <c r="G671" s="3">
        <v>8.9</v>
      </c>
      <c r="H671">
        <v>1510</v>
      </c>
      <c r="I671">
        <v>20014</v>
      </c>
      <c r="J671">
        <v>1.9</v>
      </c>
      <c r="K671">
        <v>22635</v>
      </c>
      <c r="L671" s="2">
        <v>408000</v>
      </c>
      <c r="M671" s="2">
        <v>53800000</v>
      </c>
      <c r="N671">
        <v>367</v>
      </c>
      <c r="O671">
        <v>6.5</v>
      </c>
      <c r="P671" t="s">
        <v>20</v>
      </c>
      <c r="Q671" t="s">
        <v>20</v>
      </c>
      <c r="R671" s="2">
        <f>Table4[[#This Row],[total_followers]]/(Table4[[#This Row],[total_time_streamed]] / 60)</f>
        <v>1081.5109343936381</v>
      </c>
      <c r="S671" t="str">
        <f>IF(Table4[[#This Row],[avg_games_per_stream]] &gt; 2, "Variety", "Focused")</f>
        <v>Focused</v>
      </c>
      <c r="T671" s="4">
        <f>Table4[[#This Row],[avg_viewers_per_stream]] / Table4[[#This Row],[total_followers]]</f>
        <v>4.9053921568627451E-2</v>
      </c>
    </row>
    <row r="672" spans="1:20">
      <c r="A672">
        <v>672</v>
      </c>
      <c r="B672" t="s">
        <v>893</v>
      </c>
      <c r="C672" t="s">
        <v>3</v>
      </c>
      <c r="D672" t="s">
        <v>39</v>
      </c>
      <c r="E672" t="s">
        <v>51</v>
      </c>
      <c r="F672" t="s">
        <v>555</v>
      </c>
      <c r="G672" s="3">
        <v>2.8</v>
      </c>
      <c r="H672">
        <v>4460</v>
      </c>
      <c r="I672">
        <v>2947</v>
      </c>
      <c r="J672">
        <v>1</v>
      </c>
      <c r="K672">
        <v>2387</v>
      </c>
      <c r="L672" s="2">
        <v>362000</v>
      </c>
      <c r="M672" s="2">
        <v>2360000</v>
      </c>
      <c r="N672">
        <v>42</v>
      </c>
      <c r="O672">
        <v>3.4</v>
      </c>
      <c r="P672" t="s">
        <v>18</v>
      </c>
      <c r="Q672" t="s">
        <v>14</v>
      </c>
      <c r="R672" s="2">
        <f>Table4[[#This Row],[total_followers]]/(Table4[[#This Row],[total_time_streamed]] / 60)</f>
        <v>9099.2878089652295</v>
      </c>
      <c r="S672" t="str">
        <f>IF(Table4[[#This Row],[avg_games_per_stream]] &gt; 2, "Variety", "Focused")</f>
        <v>Focused</v>
      </c>
      <c r="T672" s="4">
        <f>Table4[[#This Row],[avg_viewers_per_stream]] / Table4[[#This Row],[total_followers]]</f>
        <v>8.140883977900552E-3</v>
      </c>
    </row>
    <row r="673" spans="1:20">
      <c r="A673">
        <v>673</v>
      </c>
      <c r="B673" t="s">
        <v>894</v>
      </c>
      <c r="C673" t="s">
        <v>4</v>
      </c>
      <c r="D673" t="s">
        <v>39</v>
      </c>
      <c r="E673" t="s">
        <v>40</v>
      </c>
      <c r="F673" t="s">
        <v>117</v>
      </c>
      <c r="G673" s="3">
        <v>2.7</v>
      </c>
      <c r="H673">
        <v>7100</v>
      </c>
      <c r="I673">
        <v>16542</v>
      </c>
      <c r="J673">
        <v>1.1000000000000001</v>
      </c>
      <c r="K673">
        <v>2540</v>
      </c>
      <c r="L673" s="2">
        <v>65500</v>
      </c>
      <c r="M673" s="2">
        <v>1520000</v>
      </c>
      <c r="N673">
        <v>11</v>
      </c>
      <c r="O673">
        <v>0.3</v>
      </c>
      <c r="P673" t="s">
        <v>16</v>
      </c>
      <c r="Q673" t="s">
        <v>18</v>
      </c>
      <c r="R673" s="2">
        <f>Table4[[#This Row],[total_followers]]/(Table4[[#This Row],[total_time_streamed]] / 60)</f>
        <v>1547.2440944881889</v>
      </c>
      <c r="S673" t="str">
        <f>IF(Table4[[#This Row],[avg_games_per_stream]] &gt; 2, "Variety", "Focused")</f>
        <v>Focused</v>
      </c>
      <c r="T673" s="4">
        <f>Table4[[#This Row],[avg_viewers_per_stream]] / Table4[[#This Row],[total_followers]]</f>
        <v>0.25254961832061068</v>
      </c>
    </row>
    <row r="674" spans="1:20">
      <c r="A674">
        <v>674</v>
      </c>
      <c r="B674" t="s">
        <v>895</v>
      </c>
      <c r="C674" t="s">
        <v>3</v>
      </c>
      <c r="D674" t="s">
        <v>39</v>
      </c>
      <c r="E674" t="s">
        <v>40</v>
      </c>
      <c r="F674" t="s">
        <v>896</v>
      </c>
      <c r="G674" s="3">
        <v>9.4</v>
      </c>
      <c r="H674">
        <v>1050</v>
      </c>
      <c r="I674">
        <v>13541</v>
      </c>
      <c r="J674">
        <v>1.9</v>
      </c>
      <c r="K674">
        <v>21547</v>
      </c>
      <c r="L674" s="2">
        <v>325000</v>
      </c>
      <c r="M674" s="2">
        <v>35200000</v>
      </c>
      <c r="N674">
        <v>1193</v>
      </c>
      <c r="O674">
        <v>5.8</v>
      </c>
      <c r="P674" t="s">
        <v>15</v>
      </c>
      <c r="Q674" t="s">
        <v>16</v>
      </c>
      <c r="R674" s="2">
        <f>Table4[[#This Row],[total_followers]]/(Table4[[#This Row],[total_time_streamed]] / 60)</f>
        <v>904.99837564394113</v>
      </c>
      <c r="S674" t="str">
        <f>IF(Table4[[#This Row],[avg_games_per_stream]] &gt; 2, "Variety", "Focused")</f>
        <v>Focused</v>
      </c>
      <c r="T674" s="4">
        <f>Table4[[#This Row],[avg_viewers_per_stream]] / Table4[[#This Row],[total_followers]]</f>
        <v>4.1664615384615383E-2</v>
      </c>
    </row>
    <row r="675" spans="1:20">
      <c r="A675">
        <v>675</v>
      </c>
      <c r="B675" t="s">
        <v>897</v>
      </c>
      <c r="C675" t="s">
        <v>2</v>
      </c>
      <c r="D675" t="s">
        <v>39</v>
      </c>
      <c r="E675" t="s">
        <v>40</v>
      </c>
      <c r="F675" t="s">
        <v>68</v>
      </c>
      <c r="G675" s="3">
        <v>6.3</v>
      </c>
      <c r="H675">
        <v>1090</v>
      </c>
      <c r="I675">
        <v>5038</v>
      </c>
      <c r="J675">
        <v>1.7</v>
      </c>
      <c r="K675">
        <v>89</v>
      </c>
      <c r="L675" s="2">
        <v>156000</v>
      </c>
      <c r="M675" s="2">
        <v>7160000</v>
      </c>
      <c r="N675">
        <v>285</v>
      </c>
      <c r="O675">
        <v>5.7</v>
      </c>
      <c r="P675" t="s">
        <v>14</v>
      </c>
      <c r="Q675" t="s">
        <v>14</v>
      </c>
      <c r="R675" s="2">
        <f>Table4[[#This Row],[total_followers]]/(Table4[[#This Row],[total_time_streamed]] / 60)</f>
        <v>105168.53932584269</v>
      </c>
      <c r="S675" t="str">
        <f>IF(Table4[[#This Row],[avg_games_per_stream]] &gt; 2, "Variety", "Focused")</f>
        <v>Focused</v>
      </c>
      <c r="T675" s="4">
        <f>Table4[[#This Row],[avg_viewers_per_stream]] / Table4[[#This Row],[total_followers]]</f>
        <v>3.2294871794871796E-2</v>
      </c>
    </row>
    <row r="676" spans="1:20">
      <c r="A676">
        <v>676</v>
      </c>
      <c r="B676" t="s">
        <v>898</v>
      </c>
      <c r="C676" t="s">
        <v>63</v>
      </c>
      <c r="D676" t="s">
        <v>39</v>
      </c>
      <c r="E676" t="s">
        <v>595</v>
      </c>
      <c r="G676" s="3">
        <v>4.0999999999999996</v>
      </c>
      <c r="H676">
        <v>70</v>
      </c>
      <c r="I676">
        <v>0</v>
      </c>
      <c r="J676">
        <v>1</v>
      </c>
      <c r="K676">
        <v>80</v>
      </c>
      <c r="L676" s="2">
        <v>7</v>
      </c>
      <c r="M676" s="2">
        <v>0</v>
      </c>
      <c r="N676">
        <v>1</v>
      </c>
      <c r="O676">
        <v>2</v>
      </c>
      <c r="P676" t="s">
        <v>17</v>
      </c>
      <c r="Q676" t="s">
        <v>17</v>
      </c>
      <c r="R676" s="2">
        <f>Table4[[#This Row],[total_followers]]/(Table4[[#This Row],[total_time_streamed]] / 60)</f>
        <v>5.25</v>
      </c>
      <c r="S676" t="str">
        <f>IF(Table4[[#This Row],[avg_games_per_stream]] &gt; 2, "Variety", "Focused")</f>
        <v>Focused</v>
      </c>
      <c r="T676" s="4">
        <f>Table4[[#This Row],[avg_viewers_per_stream]] / Table4[[#This Row],[total_followers]]</f>
        <v>0</v>
      </c>
    </row>
    <row r="677" spans="1:20">
      <c r="A677">
        <v>677</v>
      </c>
      <c r="B677" t="s">
        <v>899</v>
      </c>
      <c r="C677" t="s">
        <v>2</v>
      </c>
      <c r="D677" t="s">
        <v>39</v>
      </c>
      <c r="E677" t="s">
        <v>380</v>
      </c>
      <c r="F677" t="s">
        <v>40</v>
      </c>
      <c r="G677" s="3">
        <v>8.6</v>
      </c>
      <c r="H677">
        <v>780</v>
      </c>
      <c r="I677">
        <v>15157</v>
      </c>
      <c r="J677">
        <v>1.5</v>
      </c>
      <c r="K677">
        <v>20019</v>
      </c>
      <c r="L677" s="2">
        <v>214000</v>
      </c>
      <c r="M677" s="2">
        <v>39000000</v>
      </c>
      <c r="N677">
        <v>233</v>
      </c>
      <c r="O677">
        <v>6</v>
      </c>
      <c r="P677" t="s">
        <v>20</v>
      </c>
      <c r="Q677" t="s">
        <v>14</v>
      </c>
      <c r="R677" s="2">
        <f>Table4[[#This Row],[total_followers]]/(Table4[[#This Row],[total_time_streamed]] / 60)</f>
        <v>641.39067885508769</v>
      </c>
      <c r="S677" t="str">
        <f>IF(Table4[[#This Row],[avg_games_per_stream]] &gt; 2, "Variety", "Focused")</f>
        <v>Focused</v>
      </c>
      <c r="T677" s="4">
        <f>Table4[[#This Row],[avg_viewers_per_stream]] / Table4[[#This Row],[total_followers]]</f>
        <v>7.0827102803738315E-2</v>
      </c>
    </row>
    <row r="678" spans="1:20">
      <c r="A678">
        <v>678</v>
      </c>
      <c r="B678" t="s">
        <v>900</v>
      </c>
      <c r="C678" t="s">
        <v>7</v>
      </c>
      <c r="D678" t="s">
        <v>39</v>
      </c>
      <c r="E678" t="s">
        <v>40</v>
      </c>
      <c r="F678" t="s">
        <v>98</v>
      </c>
      <c r="G678" s="3">
        <v>2.1</v>
      </c>
      <c r="H678">
        <v>8530</v>
      </c>
      <c r="I678">
        <v>156</v>
      </c>
      <c r="J678">
        <v>1.4</v>
      </c>
      <c r="K678">
        <v>2123</v>
      </c>
      <c r="L678" s="2">
        <v>766000</v>
      </c>
      <c r="M678" s="2">
        <v>1400000</v>
      </c>
      <c r="N678">
        <v>38</v>
      </c>
      <c r="O678">
        <v>3.5</v>
      </c>
      <c r="P678" t="s">
        <v>20</v>
      </c>
      <c r="Q678" t="s">
        <v>20</v>
      </c>
      <c r="R678" s="2">
        <f>Table4[[#This Row],[total_followers]]/(Table4[[#This Row],[total_time_streamed]] / 60)</f>
        <v>21648.610456900613</v>
      </c>
      <c r="S678" t="str">
        <f>IF(Table4[[#This Row],[avg_games_per_stream]] &gt; 2, "Variety", "Focused")</f>
        <v>Focused</v>
      </c>
      <c r="T678" s="4">
        <f>Table4[[#This Row],[avg_viewers_per_stream]] / Table4[[#This Row],[total_followers]]</f>
        <v>2.0365535248041775E-4</v>
      </c>
    </row>
    <row r="679" spans="1:20">
      <c r="A679">
        <v>679</v>
      </c>
      <c r="B679" t="s">
        <v>901</v>
      </c>
      <c r="C679" t="s">
        <v>63</v>
      </c>
      <c r="D679" t="s">
        <v>39</v>
      </c>
      <c r="E679" t="s">
        <v>40</v>
      </c>
      <c r="F679" t="s">
        <v>56</v>
      </c>
      <c r="G679" s="3">
        <v>3.7</v>
      </c>
      <c r="H679">
        <v>3300</v>
      </c>
      <c r="I679">
        <v>3182</v>
      </c>
      <c r="J679">
        <v>1.7</v>
      </c>
      <c r="K679">
        <v>4977</v>
      </c>
      <c r="L679" s="2">
        <v>545000</v>
      </c>
      <c r="M679" s="2">
        <v>5240000</v>
      </c>
      <c r="N679">
        <v>290</v>
      </c>
      <c r="O679">
        <v>3.5</v>
      </c>
      <c r="P679" t="s">
        <v>17</v>
      </c>
      <c r="Q679" t="s">
        <v>17</v>
      </c>
      <c r="R679" s="2">
        <f>Table4[[#This Row],[total_followers]]/(Table4[[#This Row],[total_time_streamed]] / 60)</f>
        <v>6570.2230259192283</v>
      </c>
      <c r="S679" t="str">
        <f>IF(Table4[[#This Row],[avg_games_per_stream]] &gt; 2, "Variety", "Focused")</f>
        <v>Focused</v>
      </c>
      <c r="T679" s="4">
        <f>Table4[[#This Row],[avg_viewers_per_stream]] / Table4[[#This Row],[total_followers]]</f>
        <v>5.8385321100917435E-3</v>
      </c>
    </row>
    <row r="680" spans="1:20">
      <c r="A680">
        <v>680</v>
      </c>
      <c r="B680" t="s">
        <v>902</v>
      </c>
      <c r="C680" t="s">
        <v>4</v>
      </c>
      <c r="D680" t="s">
        <v>39</v>
      </c>
      <c r="E680" t="s">
        <v>53</v>
      </c>
      <c r="F680" t="s">
        <v>40</v>
      </c>
      <c r="G680" s="3">
        <v>5.7</v>
      </c>
      <c r="H680">
        <v>1720</v>
      </c>
      <c r="I680">
        <v>13572</v>
      </c>
      <c r="J680">
        <v>1.6</v>
      </c>
      <c r="K680">
        <v>15024</v>
      </c>
      <c r="L680" s="2">
        <v>477000</v>
      </c>
      <c r="M680" s="2">
        <v>37200000</v>
      </c>
      <c r="N680">
        <v>536</v>
      </c>
      <c r="O680">
        <v>6.7</v>
      </c>
      <c r="P680" t="s">
        <v>20</v>
      </c>
      <c r="Q680" t="s">
        <v>16</v>
      </c>
      <c r="R680" s="2">
        <f>Table4[[#This Row],[total_followers]]/(Table4[[#This Row],[total_time_streamed]] / 60)</f>
        <v>1904.9520766773162</v>
      </c>
      <c r="S680" t="str">
        <f>IF(Table4[[#This Row],[avg_games_per_stream]] &gt; 2, "Variety", "Focused")</f>
        <v>Focused</v>
      </c>
      <c r="T680" s="4">
        <f>Table4[[#This Row],[avg_viewers_per_stream]] / Table4[[#This Row],[total_followers]]</f>
        <v>2.8452830188679244E-2</v>
      </c>
    </row>
    <row r="681" spans="1:20">
      <c r="A681">
        <v>681</v>
      </c>
      <c r="B681" t="s">
        <v>903</v>
      </c>
      <c r="C681" t="s">
        <v>7</v>
      </c>
      <c r="D681" t="s">
        <v>39</v>
      </c>
      <c r="E681" t="s">
        <v>40</v>
      </c>
      <c r="F681" t="s">
        <v>150</v>
      </c>
      <c r="G681" s="3">
        <v>4.7</v>
      </c>
      <c r="H681">
        <v>4460</v>
      </c>
      <c r="I681">
        <v>3196</v>
      </c>
      <c r="J681">
        <v>1.3</v>
      </c>
      <c r="K681">
        <v>4204</v>
      </c>
      <c r="L681" s="2">
        <v>420000</v>
      </c>
      <c r="M681" s="2">
        <v>3010000</v>
      </c>
      <c r="N681">
        <v>65</v>
      </c>
      <c r="O681">
        <v>3.3</v>
      </c>
      <c r="P681" t="s">
        <v>17</v>
      </c>
      <c r="Q681" t="s">
        <v>15</v>
      </c>
      <c r="R681" s="2">
        <f>Table4[[#This Row],[total_followers]]/(Table4[[#This Row],[total_time_streamed]] / 60)</f>
        <v>5994.2911512844912</v>
      </c>
      <c r="S681" t="str">
        <f>IF(Table4[[#This Row],[avg_games_per_stream]] &gt; 2, "Variety", "Focused")</f>
        <v>Focused</v>
      </c>
      <c r="T681" s="4">
        <f>Table4[[#This Row],[avg_viewers_per_stream]] / Table4[[#This Row],[total_followers]]</f>
        <v>7.6095238095238099E-3</v>
      </c>
    </row>
    <row r="682" spans="1:20">
      <c r="A682">
        <v>682</v>
      </c>
      <c r="B682" t="s">
        <v>904</v>
      </c>
      <c r="C682" t="s">
        <v>3</v>
      </c>
      <c r="D682" t="s">
        <v>39</v>
      </c>
      <c r="E682" t="s">
        <v>463</v>
      </c>
      <c r="F682" t="s">
        <v>46</v>
      </c>
      <c r="G682" s="3">
        <v>3.7</v>
      </c>
      <c r="H682">
        <v>1367</v>
      </c>
      <c r="I682">
        <v>4340</v>
      </c>
      <c r="J682">
        <v>1.5</v>
      </c>
      <c r="K682">
        <v>2969</v>
      </c>
      <c r="L682" s="2">
        <v>1110000</v>
      </c>
      <c r="M682" s="2">
        <v>351000</v>
      </c>
      <c r="N682">
        <v>23</v>
      </c>
      <c r="O682">
        <v>4.4000000000000004</v>
      </c>
      <c r="P682" t="s">
        <v>18</v>
      </c>
      <c r="Q682" t="s">
        <v>19</v>
      </c>
      <c r="R682" s="2">
        <f>Table4[[#This Row],[total_followers]]/(Table4[[#This Row],[total_time_streamed]] / 60)</f>
        <v>22431.795217244864</v>
      </c>
      <c r="S682" t="str">
        <f>IF(Table4[[#This Row],[avg_games_per_stream]] &gt; 2, "Variety", "Focused")</f>
        <v>Focused</v>
      </c>
      <c r="T682" s="4">
        <f>Table4[[#This Row],[avg_viewers_per_stream]] / Table4[[#This Row],[total_followers]]</f>
        <v>3.90990990990991E-3</v>
      </c>
    </row>
    <row r="683" spans="1:20">
      <c r="A683">
        <v>683</v>
      </c>
      <c r="B683" t="s">
        <v>905</v>
      </c>
      <c r="C683" t="s">
        <v>63</v>
      </c>
      <c r="D683" t="s">
        <v>39</v>
      </c>
      <c r="E683" t="s">
        <v>595</v>
      </c>
      <c r="G683" s="3">
        <v>4.9000000000000004</v>
      </c>
      <c r="H683">
        <v>10</v>
      </c>
      <c r="I683">
        <v>0</v>
      </c>
      <c r="J683">
        <v>1</v>
      </c>
      <c r="K683">
        <v>100</v>
      </c>
      <c r="L683" s="2">
        <v>1300</v>
      </c>
      <c r="M683" s="2">
        <v>0</v>
      </c>
      <c r="N683">
        <v>1</v>
      </c>
      <c r="O683">
        <v>1.1000000000000001</v>
      </c>
      <c r="P683" t="s">
        <v>17</v>
      </c>
      <c r="Q683" t="s">
        <v>19</v>
      </c>
      <c r="R683" s="2">
        <f>Table4[[#This Row],[total_followers]]/(Table4[[#This Row],[total_time_streamed]] / 60)</f>
        <v>780</v>
      </c>
      <c r="S683" t="str">
        <f>IF(Table4[[#This Row],[avg_games_per_stream]] &gt; 2, "Variety", "Focused")</f>
        <v>Focused</v>
      </c>
      <c r="T683" s="4">
        <f>Table4[[#This Row],[avg_viewers_per_stream]] / Table4[[#This Row],[total_followers]]</f>
        <v>0</v>
      </c>
    </row>
    <row r="684" spans="1:20">
      <c r="A684">
        <v>684</v>
      </c>
      <c r="B684" t="s">
        <v>906</v>
      </c>
      <c r="C684" t="s">
        <v>5</v>
      </c>
      <c r="D684" t="s">
        <v>39</v>
      </c>
      <c r="E684" t="s">
        <v>70</v>
      </c>
      <c r="F684" t="s">
        <v>54</v>
      </c>
      <c r="G684" s="3">
        <v>4.4000000000000004</v>
      </c>
      <c r="H684">
        <v>3860</v>
      </c>
      <c r="I684">
        <v>3487</v>
      </c>
      <c r="J684">
        <v>1.1000000000000001</v>
      </c>
      <c r="K684">
        <v>1211</v>
      </c>
      <c r="L684" s="2">
        <v>111000</v>
      </c>
      <c r="M684" s="2">
        <v>1000000</v>
      </c>
      <c r="N684">
        <v>14</v>
      </c>
      <c r="O684">
        <v>0.9</v>
      </c>
      <c r="P684" t="s">
        <v>14</v>
      </c>
      <c r="Q684" t="s">
        <v>14</v>
      </c>
      <c r="R684" s="2">
        <f>Table4[[#This Row],[total_followers]]/(Table4[[#This Row],[total_time_streamed]] / 60)</f>
        <v>5499.5871180842278</v>
      </c>
      <c r="S684" t="str">
        <f>IF(Table4[[#This Row],[avg_games_per_stream]] &gt; 2, "Variety", "Focused")</f>
        <v>Focused</v>
      </c>
      <c r="T684" s="4">
        <f>Table4[[#This Row],[avg_viewers_per_stream]] / Table4[[#This Row],[total_followers]]</f>
        <v>3.1414414414414414E-2</v>
      </c>
    </row>
    <row r="685" spans="1:20">
      <c r="A685">
        <v>685</v>
      </c>
      <c r="B685" t="s">
        <v>907</v>
      </c>
      <c r="C685" t="s">
        <v>6</v>
      </c>
      <c r="D685" t="s">
        <v>39</v>
      </c>
      <c r="E685" t="s">
        <v>85</v>
      </c>
      <c r="G685" s="3">
        <v>8.6</v>
      </c>
      <c r="H685">
        <v>3820</v>
      </c>
      <c r="I685">
        <v>0</v>
      </c>
      <c r="J685">
        <v>1</v>
      </c>
      <c r="K685">
        <v>170</v>
      </c>
      <c r="L685" s="2">
        <v>1300</v>
      </c>
      <c r="M685" s="2">
        <v>0</v>
      </c>
      <c r="N685">
        <v>1</v>
      </c>
      <c r="O685">
        <v>0.7</v>
      </c>
      <c r="P685" t="s">
        <v>17</v>
      </c>
      <c r="Q685" t="s">
        <v>17</v>
      </c>
      <c r="R685" s="2">
        <f>Table4[[#This Row],[total_followers]]/(Table4[[#This Row],[total_time_streamed]] / 60)</f>
        <v>458.8235294117647</v>
      </c>
      <c r="S685" t="str">
        <f>IF(Table4[[#This Row],[avg_games_per_stream]] &gt; 2, "Variety", "Focused")</f>
        <v>Focused</v>
      </c>
      <c r="T685" s="4">
        <f>Table4[[#This Row],[avg_viewers_per_stream]] / Table4[[#This Row],[total_followers]]</f>
        <v>0</v>
      </c>
    </row>
    <row r="686" spans="1:20">
      <c r="A686">
        <v>686</v>
      </c>
      <c r="B686" t="s">
        <v>908</v>
      </c>
      <c r="C686" t="s">
        <v>3</v>
      </c>
      <c r="D686" t="s">
        <v>39</v>
      </c>
      <c r="E686" t="s">
        <v>598</v>
      </c>
      <c r="F686" t="s">
        <v>909</v>
      </c>
      <c r="G686" s="3">
        <v>7.1</v>
      </c>
      <c r="H686">
        <v>1600</v>
      </c>
      <c r="I686">
        <v>15279</v>
      </c>
      <c r="J686">
        <v>1.5</v>
      </c>
      <c r="K686">
        <v>279</v>
      </c>
      <c r="L686" s="2">
        <v>628000</v>
      </c>
      <c r="M686" s="2">
        <v>72000000</v>
      </c>
      <c r="N686">
        <v>132</v>
      </c>
      <c r="O686">
        <v>6.6</v>
      </c>
      <c r="P686" t="s">
        <v>16</v>
      </c>
      <c r="Q686" t="s">
        <v>14</v>
      </c>
      <c r="R686" s="2">
        <f>Table4[[#This Row],[total_followers]]/(Table4[[#This Row],[total_time_streamed]] / 60)</f>
        <v>135053.7634408602</v>
      </c>
      <c r="S686" t="str">
        <f>IF(Table4[[#This Row],[avg_games_per_stream]] &gt; 2, "Variety", "Focused")</f>
        <v>Focused</v>
      </c>
      <c r="T686" s="4">
        <f>Table4[[#This Row],[avg_viewers_per_stream]] / Table4[[#This Row],[total_followers]]</f>
        <v>2.4329617834394905E-2</v>
      </c>
    </row>
    <row r="687" spans="1:20">
      <c r="A687">
        <v>687</v>
      </c>
      <c r="B687" t="s">
        <v>910</v>
      </c>
      <c r="C687" t="s">
        <v>4</v>
      </c>
      <c r="D687" t="s">
        <v>39</v>
      </c>
      <c r="E687" t="s">
        <v>74</v>
      </c>
      <c r="F687" t="s">
        <v>54</v>
      </c>
      <c r="G687" s="3">
        <v>5</v>
      </c>
      <c r="H687">
        <v>1630</v>
      </c>
      <c r="I687">
        <v>2917</v>
      </c>
      <c r="J687">
        <v>1.4</v>
      </c>
      <c r="K687">
        <v>5649</v>
      </c>
      <c r="L687" s="2">
        <v>224000</v>
      </c>
      <c r="M687" s="2">
        <v>4019999</v>
      </c>
      <c r="N687">
        <v>104</v>
      </c>
      <c r="O687">
        <v>3.2</v>
      </c>
      <c r="P687" t="s">
        <v>19</v>
      </c>
      <c r="Q687" t="s">
        <v>14</v>
      </c>
      <c r="R687" s="2">
        <f>Table4[[#This Row],[total_followers]]/(Table4[[#This Row],[total_time_streamed]] / 60)</f>
        <v>2379.1821561338288</v>
      </c>
      <c r="S687" t="str">
        <f>IF(Table4[[#This Row],[avg_games_per_stream]] &gt; 2, "Variety", "Focused")</f>
        <v>Focused</v>
      </c>
      <c r="T687" s="4">
        <f>Table4[[#This Row],[avg_viewers_per_stream]] / Table4[[#This Row],[total_followers]]</f>
        <v>1.3022321428571428E-2</v>
      </c>
    </row>
    <row r="688" spans="1:20">
      <c r="A688">
        <v>688</v>
      </c>
      <c r="B688" t="s">
        <v>911</v>
      </c>
      <c r="C688" t="s">
        <v>7</v>
      </c>
      <c r="D688" t="s">
        <v>39</v>
      </c>
      <c r="E688" t="s">
        <v>40</v>
      </c>
      <c r="F688" t="s">
        <v>74</v>
      </c>
      <c r="G688" s="3">
        <v>3.1</v>
      </c>
      <c r="H688">
        <v>8670</v>
      </c>
      <c r="I688">
        <v>10442</v>
      </c>
      <c r="J688">
        <v>1.9</v>
      </c>
      <c r="K688">
        <v>5022</v>
      </c>
      <c r="L688" s="2">
        <v>1200000</v>
      </c>
      <c r="M688" s="2">
        <v>14500000</v>
      </c>
      <c r="N688">
        <v>360</v>
      </c>
      <c r="O688">
        <v>5.0999999999999996</v>
      </c>
      <c r="P688" t="s">
        <v>19</v>
      </c>
      <c r="Q688" t="s">
        <v>16</v>
      </c>
      <c r="R688" s="2">
        <f>Table4[[#This Row],[total_followers]]/(Table4[[#This Row],[total_time_streamed]] / 60)</f>
        <v>14336.917562724015</v>
      </c>
      <c r="S688" t="str">
        <f>IF(Table4[[#This Row],[avg_games_per_stream]] &gt; 2, "Variety", "Focused")</f>
        <v>Focused</v>
      </c>
      <c r="T688" s="4">
        <f>Table4[[#This Row],[avg_viewers_per_stream]] / Table4[[#This Row],[total_followers]]</f>
        <v>8.7016666666666666E-3</v>
      </c>
    </row>
    <row r="689" spans="1:20">
      <c r="A689">
        <v>689</v>
      </c>
      <c r="B689" t="s">
        <v>912</v>
      </c>
      <c r="C689" t="s">
        <v>5</v>
      </c>
      <c r="D689" t="s">
        <v>39</v>
      </c>
      <c r="E689" t="s">
        <v>54</v>
      </c>
      <c r="F689" t="s">
        <v>70</v>
      </c>
      <c r="G689" s="3">
        <v>4</v>
      </c>
      <c r="H689">
        <v>1790</v>
      </c>
      <c r="I689">
        <v>3077</v>
      </c>
      <c r="J689">
        <v>1.1000000000000001</v>
      </c>
      <c r="K689">
        <v>4214</v>
      </c>
      <c r="L689" s="2">
        <v>232000</v>
      </c>
      <c r="M689" s="2">
        <v>3980000</v>
      </c>
      <c r="N689">
        <v>43</v>
      </c>
      <c r="O689">
        <v>2.9</v>
      </c>
      <c r="P689" t="s">
        <v>19</v>
      </c>
      <c r="Q689" t="s">
        <v>14</v>
      </c>
      <c r="R689" s="2">
        <f>Table4[[#This Row],[total_followers]]/(Table4[[#This Row],[total_time_streamed]] / 60)</f>
        <v>3303.2747982914098</v>
      </c>
      <c r="S689" t="str">
        <f>IF(Table4[[#This Row],[avg_games_per_stream]] &gt; 2, "Variety", "Focused")</f>
        <v>Focused</v>
      </c>
      <c r="T689" s="4">
        <f>Table4[[#This Row],[avg_viewers_per_stream]] / Table4[[#This Row],[total_followers]]</f>
        <v>1.3262931034482759E-2</v>
      </c>
    </row>
    <row r="690" spans="1:20">
      <c r="A690">
        <v>690</v>
      </c>
      <c r="B690" t="s">
        <v>913</v>
      </c>
      <c r="C690" t="s">
        <v>2</v>
      </c>
      <c r="D690" t="s">
        <v>39</v>
      </c>
      <c r="E690" t="s">
        <v>46</v>
      </c>
      <c r="F690" t="s">
        <v>40</v>
      </c>
      <c r="G690" s="3">
        <v>7</v>
      </c>
      <c r="H690">
        <v>2250</v>
      </c>
      <c r="I690">
        <v>76883</v>
      </c>
      <c r="J690">
        <v>1.5</v>
      </c>
      <c r="K690">
        <v>635</v>
      </c>
      <c r="L690" s="2">
        <v>565000</v>
      </c>
      <c r="M690" s="2">
        <v>209000000</v>
      </c>
      <c r="N690">
        <v>83</v>
      </c>
      <c r="O690">
        <v>2.2999999999999998</v>
      </c>
      <c r="P690" t="s">
        <v>14</v>
      </c>
      <c r="Q690" t="s">
        <v>14</v>
      </c>
      <c r="R690" s="2">
        <f>Table4[[#This Row],[total_followers]]/(Table4[[#This Row],[total_time_streamed]] / 60)</f>
        <v>53385.826771653541</v>
      </c>
      <c r="S690" t="str">
        <f>IF(Table4[[#This Row],[avg_games_per_stream]] &gt; 2, "Variety", "Focused")</f>
        <v>Focused</v>
      </c>
      <c r="T690" s="4">
        <f>Table4[[#This Row],[avg_viewers_per_stream]] / Table4[[#This Row],[total_followers]]</f>
        <v>0.13607610619469027</v>
      </c>
    </row>
    <row r="691" spans="1:20">
      <c r="A691">
        <v>691</v>
      </c>
      <c r="B691" t="s">
        <v>914</v>
      </c>
      <c r="C691" t="s">
        <v>2</v>
      </c>
      <c r="D691" t="s">
        <v>39</v>
      </c>
      <c r="E691" t="s">
        <v>189</v>
      </c>
      <c r="F691" t="s">
        <v>40</v>
      </c>
      <c r="G691" s="3">
        <v>10.199999999999999</v>
      </c>
      <c r="H691">
        <v>680</v>
      </c>
      <c r="I691">
        <v>33673</v>
      </c>
      <c r="J691">
        <v>1.7</v>
      </c>
      <c r="K691">
        <v>25104</v>
      </c>
      <c r="L691" s="2">
        <v>240000</v>
      </c>
      <c r="M691" s="2">
        <v>105000000</v>
      </c>
      <c r="N691">
        <v>327</v>
      </c>
      <c r="O691">
        <v>6.3</v>
      </c>
      <c r="P691" t="s">
        <v>15</v>
      </c>
      <c r="Q691" t="s">
        <v>14</v>
      </c>
      <c r="R691" s="2">
        <f>Table4[[#This Row],[total_followers]]/(Table4[[#This Row],[total_time_streamed]] / 60)</f>
        <v>573.61376673040161</v>
      </c>
      <c r="S691" t="str">
        <f>IF(Table4[[#This Row],[avg_games_per_stream]] &gt; 2, "Variety", "Focused")</f>
        <v>Focused</v>
      </c>
      <c r="T691" s="4">
        <f>Table4[[#This Row],[avg_viewers_per_stream]] / Table4[[#This Row],[total_followers]]</f>
        <v>0.14030416666666667</v>
      </c>
    </row>
    <row r="692" spans="1:20">
      <c r="A692">
        <v>692</v>
      </c>
      <c r="B692" t="s">
        <v>915</v>
      </c>
      <c r="C692" t="s">
        <v>63</v>
      </c>
      <c r="D692" t="s">
        <v>39</v>
      </c>
      <c r="E692" t="s">
        <v>64</v>
      </c>
      <c r="F692" t="s">
        <v>916</v>
      </c>
      <c r="G692" s="3">
        <v>5.8</v>
      </c>
      <c r="H692">
        <v>2300</v>
      </c>
      <c r="I692">
        <v>34737</v>
      </c>
      <c r="J692">
        <v>1</v>
      </c>
      <c r="K692">
        <v>14575</v>
      </c>
      <c r="L692" s="2">
        <v>670000</v>
      </c>
      <c r="M692" s="2">
        <v>87700000</v>
      </c>
      <c r="N692">
        <v>2</v>
      </c>
      <c r="O692">
        <v>6.4</v>
      </c>
      <c r="P692" t="s">
        <v>19</v>
      </c>
      <c r="Q692" t="s">
        <v>15</v>
      </c>
      <c r="R692" s="2">
        <f>Table4[[#This Row],[total_followers]]/(Table4[[#This Row],[total_time_streamed]] / 60)</f>
        <v>2758.1475128644943</v>
      </c>
      <c r="S692" t="str">
        <f>IF(Table4[[#This Row],[avg_games_per_stream]] &gt; 2, "Variety", "Focused")</f>
        <v>Focused</v>
      </c>
      <c r="T692" s="4">
        <f>Table4[[#This Row],[avg_viewers_per_stream]] / Table4[[#This Row],[total_followers]]</f>
        <v>5.1846268656716418E-2</v>
      </c>
    </row>
    <row r="693" spans="1:20">
      <c r="A693">
        <v>693</v>
      </c>
      <c r="B693" t="s">
        <v>917</v>
      </c>
      <c r="C693" t="s">
        <v>5</v>
      </c>
      <c r="D693" t="s">
        <v>39</v>
      </c>
      <c r="E693" t="s">
        <v>79</v>
      </c>
      <c r="F693" t="s">
        <v>93</v>
      </c>
      <c r="G693" s="3">
        <v>4.5</v>
      </c>
      <c r="H693">
        <v>2240</v>
      </c>
      <c r="I693">
        <v>3772</v>
      </c>
      <c r="J693">
        <v>1.3</v>
      </c>
      <c r="K693">
        <v>5214</v>
      </c>
      <c r="L693" s="2">
        <v>286000</v>
      </c>
      <c r="M693" s="2">
        <v>4820000</v>
      </c>
      <c r="N693">
        <v>56</v>
      </c>
      <c r="O693">
        <v>3.1</v>
      </c>
      <c r="P693" t="s">
        <v>17</v>
      </c>
      <c r="Q693" t="s">
        <v>17</v>
      </c>
      <c r="R693" s="2">
        <f>Table4[[#This Row],[total_followers]]/(Table4[[#This Row],[total_time_streamed]] / 60)</f>
        <v>3291.1392405063289</v>
      </c>
      <c r="S693" t="str">
        <f>IF(Table4[[#This Row],[avg_games_per_stream]] &gt; 2, "Variety", "Focused")</f>
        <v>Focused</v>
      </c>
      <c r="T693" s="4">
        <f>Table4[[#This Row],[avg_viewers_per_stream]] / Table4[[#This Row],[total_followers]]</f>
        <v>1.3188811188811189E-2</v>
      </c>
    </row>
    <row r="694" spans="1:20">
      <c r="A694">
        <v>694</v>
      </c>
      <c r="B694" t="s">
        <v>918</v>
      </c>
      <c r="C694" t="s">
        <v>3</v>
      </c>
      <c r="D694" t="s">
        <v>39</v>
      </c>
      <c r="E694" t="s">
        <v>40</v>
      </c>
      <c r="F694" t="s">
        <v>51</v>
      </c>
      <c r="G694" s="3">
        <v>4.0999999999999996</v>
      </c>
      <c r="H694">
        <v>1516</v>
      </c>
      <c r="I694">
        <v>1611</v>
      </c>
      <c r="J694">
        <v>1.6</v>
      </c>
      <c r="K694">
        <v>3941</v>
      </c>
      <c r="L694" s="2">
        <v>1270000</v>
      </c>
      <c r="M694" s="2">
        <v>1350000</v>
      </c>
      <c r="N694">
        <v>369</v>
      </c>
      <c r="O694">
        <v>4.2</v>
      </c>
      <c r="P694" t="s">
        <v>15</v>
      </c>
      <c r="Q694" t="s">
        <v>19</v>
      </c>
      <c r="R694" s="2">
        <f>Table4[[#This Row],[total_followers]]/(Table4[[#This Row],[total_time_streamed]] / 60)</f>
        <v>19335.194113169244</v>
      </c>
      <c r="S694" t="str">
        <f>IF(Table4[[#This Row],[avg_games_per_stream]] &gt; 2, "Variety", "Focused")</f>
        <v>Focused</v>
      </c>
      <c r="T694" s="4">
        <f>Table4[[#This Row],[avg_viewers_per_stream]] / Table4[[#This Row],[total_followers]]</f>
        <v>1.2685039370078741E-3</v>
      </c>
    </row>
    <row r="695" spans="1:20">
      <c r="A695">
        <v>695</v>
      </c>
      <c r="B695" t="s">
        <v>919</v>
      </c>
      <c r="C695" t="s">
        <v>3</v>
      </c>
      <c r="D695" t="s">
        <v>39</v>
      </c>
      <c r="E695" t="s">
        <v>53</v>
      </c>
      <c r="F695" t="s">
        <v>628</v>
      </c>
      <c r="G695" s="3">
        <v>10</v>
      </c>
      <c r="H695">
        <v>1560</v>
      </c>
      <c r="I695">
        <v>27657</v>
      </c>
      <c r="J695">
        <v>1.2</v>
      </c>
      <c r="K695">
        <v>25611</v>
      </c>
      <c r="L695" s="2">
        <v>967000</v>
      </c>
      <c r="M695" s="2">
        <v>174000000</v>
      </c>
      <c r="N695">
        <v>180</v>
      </c>
      <c r="O695">
        <v>6.5</v>
      </c>
      <c r="P695" t="s">
        <v>20</v>
      </c>
      <c r="Q695" t="s">
        <v>18</v>
      </c>
      <c r="R695" s="2">
        <f>Table4[[#This Row],[total_followers]]/(Table4[[#This Row],[total_time_streamed]] / 60)</f>
        <v>2265.432821834368</v>
      </c>
      <c r="S695" t="str">
        <f>IF(Table4[[#This Row],[avg_games_per_stream]] &gt; 2, "Variety", "Focused")</f>
        <v>Focused</v>
      </c>
      <c r="T695" s="4">
        <f>Table4[[#This Row],[avg_viewers_per_stream]] / Table4[[#This Row],[total_followers]]</f>
        <v>2.8600827300930713E-2</v>
      </c>
    </row>
    <row r="696" spans="1:20">
      <c r="A696">
        <v>696</v>
      </c>
      <c r="B696" t="s">
        <v>920</v>
      </c>
      <c r="C696" t="s">
        <v>5</v>
      </c>
      <c r="D696" t="s">
        <v>39</v>
      </c>
      <c r="E696" t="s">
        <v>40</v>
      </c>
      <c r="F696" t="s">
        <v>233</v>
      </c>
      <c r="G696" s="3">
        <v>5.8</v>
      </c>
      <c r="H696">
        <v>2380</v>
      </c>
      <c r="I696">
        <v>650</v>
      </c>
      <c r="J696">
        <v>1.4</v>
      </c>
      <c r="K696">
        <v>4306</v>
      </c>
      <c r="L696" s="2">
        <v>255000</v>
      </c>
      <c r="M696" s="2">
        <v>95100</v>
      </c>
      <c r="N696">
        <v>168</v>
      </c>
      <c r="O696">
        <v>2.1</v>
      </c>
      <c r="P696" t="s">
        <v>19</v>
      </c>
      <c r="Q696" t="s">
        <v>16</v>
      </c>
      <c r="R696" s="2">
        <f>Table4[[#This Row],[total_followers]]/(Table4[[#This Row],[total_time_streamed]] / 60)</f>
        <v>3553.1816070599166</v>
      </c>
      <c r="S696" t="str">
        <f>IF(Table4[[#This Row],[avg_games_per_stream]] &gt; 2, "Variety", "Focused")</f>
        <v>Focused</v>
      </c>
      <c r="T696" s="4">
        <f>Table4[[#This Row],[avg_viewers_per_stream]] / Table4[[#This Row],[total_followers]]</f>
        <v>2.5490196078431374E-3</v>
      </c>
    </row>
    <row r="697" spans="1:20">
      <c r="A697">
        <v>697</v>
      </c>
      <c r="B697" t="s">
        <v>921</v>
      </c>
      <c r="C697" t="s">
        <v>61</v>
      </c>
      <c r="D697" t="s">
        <v>39</v>
      </c>
      <c r="E697" t="s">
        <v>66</v>
      </c>
      <c r="F697" t="s">
        <v>98</v>
      </c>
      <c r="G697" s="3">
        <v>5.3</v>
      </c>
      <c r="H697">
        <v>1220</v>
      </c>
      <c r="I697">
        <v>3001</v>
      </c>
      <c r="J697">
        <v>1.6</v>
      </c>
      <c r="K697">
        <v>6239</v>
      </c>
      <c r="L697" s="2">
        <v>132000</v>
      </c>
      <c r="M697" s="2">
        <v>3370000</v>
      </c>
      <c r="N697">
        <v>54</v>
      </c>
      <c r="O697">
        <v>4.5999999999999996</v>
      </c>
      <c r="P697" t="s">
        <v>14</v>
      </c>
      <c r="Q697" t="s">
        <v>14</v>
      </c>
      <c r="R697" s="2">
        <f>Table4[[#This Row],[total_followers]]/(Table4[[#This Row],[total_time_streamed]] / 60)</f>
        <v>1269.4342041993909</v>
      </c>
      <c r="S697" t="str">
        <f>IF(Table4[[#This Row],[avg_games_per_stream]] &gt; 2, "Variety", "Focused")</f>
        <v>Focused</v>
      </c>
      <c r="T697" s="4">
        <f>Table4[[#This Row],[avg_viewers_per_stream]] / Table4[[#This Row],[total_followers]]</f>
        <v>2.2734848484848486E-2</v>
      </c>
    </row>
    <row r="698" spans="1:20">
      <c r="A698">
        <v>698</v>
      </c>
      <c r="B698" t="s">
        <v>922</v>
      </c>
      <c r="C698" t="s">
        <v>3</v>
      </c>
      <c r="D698" t="s">
        <v>58</v>
      </c>
      <c r="E698" t="s">
        <v>518</v>
      </c>
      <c r="F698" t="s">
        <v>794</v>
      </c>
      <c r="G698" s="3">
        <v>5.8</v>
      </c>
      <c r="H698">
        <v>1950</v>
      </c>
      <c r="I698">
        <v>24689</v>
      </c>
      <c r="J698">
        <v>1.3</v>
      </c>
      <c r="K698">
        <v>13459</v>
      </c>
      <c r="L698" s="2">
        <v>650000</v>
      </c>
      <c r="M698" s="2">
        <v>95200000</v>
      </c>
      <c r="N698">
        <v>73</v>
      </c>
      <c r="O698">
        <v>5.2</v>
      </c>
      <c r="P698" t="s">
        <v>19</v>
      </c>
      <c r="Q698" t="s">
        <v>14</v>
      </c>
      <c r="R698" s="2">
        <f>Table4[[#This Row],[total_followers]]/(Table4[[#This Row],[total_time_streamed]] / 60)</f>
        <v>2897.6892785496693</v>
      </c>
      <c r="S698" t="str">
        <f>IF(Table4[[#This Row],[avg_games_per_stream]] &gt; 2, "Variety", "Focused")</f>
        <v>Focused</v>
      </c>
      <c r="T698" s="4">
        <f>Table4[[#This Row],[avg_viewers_per_stream]] / Table4[[#This Row],[total_followers]]</f>
        <v>3.7983076923076925E-2</v>
      </c>
    </row>
    <row r="699" spans="1:20">
      <c r="A699">
        <v>699</v>
      </c>
      <c r="B699" t="s">
        <v>923</v>
      </c>
      <c r="C699" t="s">
        <v>6</v>
      </c>
      <c r="D699" t="s">
        <v>39</v>
      </c>
      <c r="E699" t="s">
        <v>70</v>
      </c>
      <c r="F699" t="s">
        <v>85</v>
      </c>
      <c r="G699" s="3">
        <v>7.2</v>
      </c>
      <c r="H699">
        <v>6110</v>
      </c>
      <c r="I699">
        <v>36647</v>
      </c>
      <c r="J699">
        <v>1.6</v>
      </c>
      <c r="K699">
        <v>16823</v>
      </c>
      <c r="L699" s="2">
        <v>1290000</v>
      </c>
      <c r="M699" s="2">
        <v>77900000</v>
      </c>
      <c r="N699">
        <v>202</v>
      </c>
      <c r="O699">
        <v>6</v>
      </c>
      <c r="P699" t="s">
        <v>17</v>
      </c>
      <c r="Q699" t="s">
        <v>14</v>
      </c>
      <c r="R699" s="2">
        <f>Table4[[#This Row],[total_followers]]/(Table4[[#This Row],[total_time_streamed]] / 60)</f>
        <v>4600.8440825060934</v>
      </c>
      <c r="S699" t="str">
        <f>IF(Table4[[#This Row],[avg_games_per_stream]] &gt; 2, "Variety", "Focused")</f>
        <v>Focused</v>
      </c>
      <c r="T699" s="4">
        <f>Table4[[#This Row],[avg_viewers_per_stream]] / Table4[[#This Row],[total_followers]]</f>
        <v>2.8408527131782945E-2</v>
      </c>
    </row>
    <row r="700" spans="1:20">
      <c r="A700">
        <v>700</v>
      </c>
      <c r="B700" t="s">
        <v>924</v>
      </c>
      <c r="C700" t="s">
        <v>3</v>
      </c>
      <c r="D700" t="s">
        <v>39</v>
      </c>
      <c r="E700" t="s">
        <v>607</v>
      </c>
      <c r="F700" t="s">
        <v>40</v>
      </c>
      <c r="G700" s="3">
        <v>4.7</v>
      </c>
      <c r="H700">
        <v>9640</v>
      </c>
      <c r="I700">
        <v>2190</v>
      </c>
      <c r="J700">
        <v>1.5</v>
      </c>
      <c r="K700">
        <v>193</v>
      </c>
      <c r="L700" s="2">
        <v>343000</v>
      </c>
      <c r="M700" s="2">
        <v>78500</v>
      </c>
      <c r="N700">
        <v>94</v>
      </c>
      <c r="O700">
        <v>2.2000000000000002</v>
      </c>
      <c r="P700" t="s">
        <v>20</v>
      </c>
      <c r="Q700" t="s">
        <v>15</v>
      </c>
      <c r="R700" s="2">
        <f>Table4[[#This Row],[total_followers]]/(Table4[[#This Row],[total_time_streamed]] / 60)</f>
        <v>106632.12435233161</v>
      </c>
      <c r="S700" t="str">
        <f>IF(Table4[[#This Row],[avg_games_per_stream]] &gt; 2, "Variety", "Focused")</f>
        <v>Focused</v>
      </c>
      <c r="T700" s="4">
        <f>Table4[[#This Row],[avg_viewers_per_stream]] / Table4[[#This Row],[total_followers]]</f>
        <v>6.3848396501457729E-3</v>
      </c>
    </row>
    <row r="701" spans="1:20">
      <c r="A701">
        <v>701</v>
      </c>
      <c r="B701" t="s">
        <v>925</v>
      </c>
      <c r="C701" t="s">
        <v>5</v>
      </c>
      <c r="D701" t="s">
        <v>39</v>
      </c>
      <c r="E701" t="s">
        <v>68</v>
      </c>
      <c r="F701" t="s">
        <v>926</v>
      </c>
      <c r="G701" s="3">
        <v>11.2</v>
      </c>
      <c r="H701">
        <v>1760</v>
      </c>
      <c r="I701">
        <v>13609</v>
      </c>
      <c r="J701">
        <v>1.4</v>
      </c>
      <c r="K701">
        <v>16528</v>
      </c>
      <c r="L701" s="2">
        <v>300000</v>
      </c>
      <c r="M701" s="2">
        <v>23100000</v>
      </c>
      <c r="N701">
        <v>206</v>
      </c>
      <c r="O701">
        <v>5.4</v>
      </c>
      <c r="P701" t="s">
        <v>18</v>
      </c>
      <c r="Q701" t="s">
        <v>14</v>
      </c>
      <c r="R701" s="2">
        <f>Table4[[#This Row],[total_followers]]/(Table4[[#This Row],[total_time_streamed]] / 60)</f>
        <v>1089.0609874152954</v>
      </c>
      <c r="S701" t="str">
        <f>IF(Table4[[#This Row],[avg_games_per_stream]] &gt; 2, "Variety", "Focused")</f>
        <v>Focused</v>
      </c>
      <c r="T701" s="4">
        <f>Table4[[#This Row],[avg_viewers_per_stream]] / Table4[[#This Row],[total_followers]]</f>
        <v>4.5363333333333332E-2</v>
      </c>
    </row>
    <row r="702" spans="1:20">
      <c r="A702">
        <v>702</v>
      </c>
      <c r="B702" t="s">
        <v>927</v>
      </c>
      <c r="C702" t="s">
        <v>3</v>
      </c>
      <c r="D702" t="s">
        <v>39</v>
      </c>
      <c r="E702" t="s">
        <v>66</v>
      </c>
      <c r="F702" t="s">
        <v>40</v>
      </c>
      <c r="G702" s="3">
        <v>6.1</v>
      </c>
      <c r="H702">
        <v>3320</v>
      </c>
      <c r="I702">
        <v>10443</v>
      </c>
      <c r="J702">
        <v>1.8</v>
      </c>
      <c r="K702">
        <v>12039</v>
      </c>
      <c r="L702" s="2">
        <v>629000</v>
      </c>
      <c r="M702" s="2">
        <v>19800000</v>
      </c>
      <c r="N702">
        <v>384</v>
      </c>
      <c r="O702">
        <v>5.0999999999999996</v>
      </c>
      <c r="P702" t="s">
        <v>17</v>
      </c>
      <c r="Q702" t="s">
        <v>17</v>
      </c>
      <c r="R702" s="2">
        <f>Table4[[#This Row],[total_followers]]/(Table4[[#This Row],[total_time_streamed]] / 60)</f>
        <v>3134.8118614502864</v>
      </c>
      <c r="S702" t="str">
        <f>IF(Table4[[#This Row],[avg_games_per_stream]] &gt; 2, "Variety", "Focused")</f>
        <v>Focused</v>
      </c>
      <c r="T702" s="4">
        <f>Table4[[#This Row],[avg_viewers_per_stream]] / Table4[[#This Row],[total_followers]]</f>
        <v>1.6602543720190779E-2</v>
      </c>
    </row>
    <row r="703" spans="1:20">
      <c r="A703">
        <v>703</v>
      </c>
      <c r="B703" t="s">
        <v>928</v>
      </c>
      <c r="C703" t="s">
        <v>3</v>
      </c>
      <c r="D703" t="s">
        <v>39</v>
      </c>
      <c r="E703" t="s">
        <v>109</v>
      </c>
      <c r="F703" t="s">
        <v>708</v>
      </c>
      <c r="G703" s="3">
        <v>7.4</v>
      </c>
      <c r="H703">
        <v>2990</v>
      </c>
      <c r="I703">
        <v>70</v>
      </c>
      <c r="J703">
        <v>1.1000000000000001</v>
      </c>
      <c r="K703">
        <v>5759</v>
      </c>
      <c r="L703" s="2">
        <v>216000</v>
      </c>
      <c r="M703" s="2">
        <v>6100</v>
      </c>
      <c r="N703">
        <v>24</v>
      </c>
      <c r="O703">
        <v>2.2000000000000002</v>
      </c>
      <c r="P703" t="s">
        <v>16</v>
      </c>
      <c r="Q703" t="s">
        <v>14</v>
      </c>
      <c r="R703" s="2">
        <f>Table4[[#This Row],[total_followers]]/(Table4[[#This Row],[total_time_streamed]] / 60)</f>
        <v>2250.390692828616</v>
      </c>
      <c r="S703" t="str">
        <f>IF(Table4[[#This Row],[avg_games_per_stream]] &gt; 2, "Variety", "Focused")</f>
        <v>Focused</v>
      </c>
      <c r="T703" s="4">
        <f>Table4[[#This Row],[avg_viewers_per_stream]] / Table4[[#This Row],[total_followers]]</f>
        <v>3.2407407407407406E-4</v>
      </c>
    </row>
    <row r="704" spans="1:20">
      <c r="A704">
        <v>704</v>
      </c>
      <c r="B704" t="s">
        <v>929</v>
      </c>
      <c r="C704" t="s">
        <v>63</v>
      </c>
      <c r="D704" t="s">
        <v>39</v>
      </c>
      <c r="E704" t="s">
        <v>40</v>
      </c>
      <c r="F704" t="s">
        <v>51</v>
      </c>
      <c r="G704" s="3">
        <v>4.7</v>
      </c>
      <c r="H704">
        <v>7660</v>
      </c>
      <c r="I704">
        <v>209</v>
      </c>
      <c r="J704">
        <v>2</v>
      </c>
      <c r="K704">
        <v>3721</v>
      </c>
      <c r="L704" s="2">
        <v>628000</v>
      </c>
      <c r="M704" s="2">
        <v>1740000</v>
      </c>
      <c r="N704">
        <v>109</v>
      </c>
      <c r="O704">
        <v>2</v>
      </c>
      <c r="P704" t="s">
        <v>17</v>
      </c>
      <c r="Q704" t="s">
        <v>15</v>
      </c>
      <c r="R704" s="2">
        <f>Table4[[#This Row],[total_followers]]/(Table4[[#This Row],[total_time_streamed]] / 60)</f>
        <v>10126.310131685032</v>
      </c>
      <c r="S704" t="str">
        <f>IF(Table4[[#This Row],[avg_games_per_stream]] &gt; 2, "Variety", "Focused")</f>
        <v>Focused</v>
      </c>
      <c r="T704" s="4">
        <f>Table4[[#This Row],[avg_viewers_per_stream]] / Table4[[#This Row],[total_followers]]</f>
        <v>3.3280254777070064E-4</v>
      </c>
    </row>
    <row r="705" spans="1:20">
      <c r="A705">
        <v>705</v>
      </c>
      <c r="B705" t="s">
        <v>930</v>
      </c>
      <c r="C705" t="s">
        <v>783</v>
      </c>
      <c r="D705" t="s">
        <v>39</v>
      </c>
      <c r="E705" t="s">
        <v>40</v>
      </c>
      <c r="F705" t="s">
        <v>51</v>
      </c>
      <c r="G705" s="3">
        <v>5.5</v>
      </c>
      <c r="H705">
        <v>1190</v>
      </c>
      <c r="I705">
        <v>2426</v>
      </c>
      <c r="J705">
        <v>2.2999999999999998</v>
      </c>
      <c r="K705">
        <v>573</v>
      </c>
      <c r="L705" s="2">
        <v>131000</v>
      </c>
      <c r="M705" s="2">
        <v>2670000</v>
      </c>
      <c r="N705">
        <v>270</v>
      </c>
      <c r="O705">
        <v>6.1</v>
      </c>
      <c r="P705" t="s">
        <v>16</v>
      </c>
      <c r="Q705" t="s">
        <v>15</v>
      </c>
      <c r="R705" s="2">
        <f>Table4[[#This Row],[total_followers]]/(Table4[[#This Row],[total_time_streamed]] / 60)</f>
        <v>13717.277486910994</v>
      </c>
      <c r="S705" t="str">
        <f>IF(Table4[[#This Row],[avg_games_per_stream]] &gt; 2, "Variety", "Focused")</f>
        <v>Variety</v>
      </c>
      <c r="T705" s="4">
        <f>Table4[[#This Row],[avg_viewers_per_stream]] / Table4[[#This Row],[total_followers]]</f>
        <v>1.8519083969465649E-2</v>
      </c>
    </row>
    <row r="706" spans="1:20">
      <c r="A706">
        <v>706</v>
      </c>
      <c r="B706" t="s">
        <v>931</v>
      </c>
      <c r="C706" t="s">
        <v>229</v>
      </c>
      <c r="D706" t="s">
        <v>39</v>
      </c>
      <c r="E706" t="s">
        <v>70</v>
      </c>
      <c r="F706" t="s">
        <v>109</v>
      </c>
      <c r="G706" s="3">
        <v>5.4</v>
      </c>
      <c r="H706">
        <v>8190</v>
      </c>
      <c r="I706">
        <v>4756</v>
      </c>
      <c r="J706">
        <v>1.7</v>
      </c>
      <c r="K706">
        <v>11158</v>
      </c>
      <c r="L706" s="2">
        <v>1720000</v>
      </c>
      <c r="M706" s="2">
        <v>99000000</v>
      </c>
      <c r="N706">
        <v>171</v>
      </c>
      <c r="O706">
        <v>5.3</v>
      </c>
      <c r="P706" t="s">
        <v>18</v>
      </c>
      <c r="Q706" t="s">
        <v>15</v>
      </c>
      <c r="R706" s="2">
        <f>Table4[[#This Row],[total_followers]]/(Table4[[#This Row],[total_time_streamed]] / 60)</f>
        <v>9248.9693493457617</v>
      </c>
      <c r="S706" t="str">
        <f>IF(Table4[[#This Row],[avg_games_per_stream]] &gt; 2, "Variety", "Focused")</f>
        <v>Focused</v>
      </c>
      <c r="T706" s="4">
        <f>Table4[[#This Row],[avg_viewers_per_stream]] / Table4[[#This Row],[total_followers]]</f>
        <v>2.7651162790697675E-3</v>
      </c>
    </row>
    <row r="707" spans="1:20">
      <c r="A707">
        <v>707</v>
      </c>
      <c r="B707" t="s">
        <v>932</v>
      </c>
      <c r="C707" t="s">
        <v>667</v>
      </c>
      <c r="D707" t="s">
        <v>39</v>
      </c>
      <c r="E707" t="s">
        <v>70</v>
      </c>
      <c r="F707" t="s">
        <v>66</v>
      </c>
      <c r="G707" s="3">
        <v>6.9</v>
      </c>
      <c r="H707">
        <v>1410</v>
      </c>
      <c r="I707">
        <v>3661</v>
      </c>
      <c r="J707">
        <v>1.5</v>
      </c>
      <c r="K707">
        <v>7001</v>
      </c>
      <c r="L707" s="2">
        <v>172000</v>
      </c>
      <c r="M707" s="2">
        <v>4510000</v>
      </c>
      <c r="N707">
        <v>65</v>
      </c>
      <c r="O707">
        <v>2.7</v>
      </c>
      <c r="P707" t="s">
        <v>20</v>
      </c>
      <c r="Q707" t="s">
        <v>17</v>
      </c>
      <c r="R707" s="2">
        <f>Table4[[#This Row],[total_followers]]/(Table4[[#This Row],[total_time_streamed]] / 60)</f>
        <v>1474.0751321239823</v>
      </c>
      <c r="S707" t="str">
        <f>IF(Table4[[#This Row],[avg_games_per_stream]] &gt; 2, "Variety", "Focused")</f>
        <v>Focused</v>
      </c>
      <c r="T707" s="4">
        <f>Table4[[#This Row],[avg_viewers_per_stream]] / Table4[[#This Row],[total_followers]]</f>
        <v>2.1284883720930233E-2</v>
      </c>
    </row>
    <row r="708" spans="1:20">
      <c r="A708">
        <v>708</v>
      </c>
      <c r="B708" t="s">
        <v>933</v>
      </c>
      <c r="C708" t="s">
        <v>5</v>
      </c>
      <c r="D708" t="s">
        <v>39</v>
      </c>
      <c r="E708" t="s">
        <v>96</v>
      </c>
      <c r="F708" t="s">
        <v>54</v>
      </c>
      <c r="G708" s="3">
        <v>7.4</v>
      </c>
      <c r="H708">
        <v>1770</v>
      </c>
      <c r="I708">
        <v>0</v>
      </c>
      <c r="J708">
        <v>1.8</v>
      </c>
      <c r="K708">
        <v>4019</v>
      </c>
      <c r="L708" s="2">
        <v>115000</v>
      </c>
      <c r="M708" s="2">
        <v>0</v>
      </c>
      <c r="N708">
        <v>33</v>
      </c>
      <c r="O708">
        <v>5.5</v>
      </c>
      <c r="P708" t="s">
        <v>17</v>
      </c>
      <c r="Q708" t="s">
        <v>14</v>
      </c>
      <c r="R708" s="2">
        <f>Table4[[#This Row],[total_followers]]/(Table4[[#This Row],[total_time_streamed]] / 60)</f>
        <v>1716.8449863150038</v>
      </c>
      <c r="S708" t="str">
        <f>IF(Table4[[#This Row],[avg_games_per_stream]] &gt; 2, "Variety", "Focused")</f>
        <v>Focused</v>
      </c>
      <c r="T708" s="4">
        <f>Table4[[#This Row],[avg_viewers_per_stream]] / Table4[[#This Row],[total_followers]]</f>
        <v>0</v>
      </c>
    </row>
    <row r="709" spans="1:20">
      <c r="A709">
        <v>709</v>
      </c>
      <c r="B709" t="s">
        <v>934</v>
      </c>
      <c r="C709" t="s">
        <v>3</v>
      </c>
      <c r="D709" t="s">
        <v>39</v>
      </c>
      <c r="E709" t="s">
        <v>284</v>
      </c>
      <c r="F709" t="s">
        <v>815</v>
      </c>
      <c r="G709" s="3">
        <v>4</v>
      </c>
      <c r="H709">
        <v>8470</v>
      </c>
      <c r="I709">
        <v>35202</v>
      </c>
      <c r="J709">
        <v>1</v>
      </c>
      <c r="K709">
        <v>4503</v>
      </c>
      <c r="L709" s="2">
        <v>1060000</v>
      </c>
      <c r="M709" s="2">
        <v>44100000</v>
      </c>
      <c r="N709">
        <v>13</v>
      </c>
      <c r="O709">
        <v>3.5</v>
      </c>
      <c r="P709" t="s">
        <v>17</v>
      </c>
      <c r="Q709" t="s">
        <v>16</v>
      </c>
      <c r="R709" s="2">
        <f>Table4[[#This Row],[total_followers]]/(Table4[[#This Row],[total_time_streamed]] / 60)</f>
        <v>14123.917388407728</v>
      </c>
      <c r="S709" t="str">
        <f>IF(Table4[[#This Row],[avg_games_per_stream]] &gt; 2, "Variety", "Focused")</f>
        <v>Focused</v>
      </c>
      <c r="T709" s="4">
        <f>Table4[[#This Row],[avg_viewers_per_stream]] / Table4[[#This Row],[total_followers]]</f>
        <v>3.3209433962264154E-2</v>
      </c>
    </row>
    <row r="710" spans="1:20">
      <c r="A710">
        <v>710</v>
      </c>
      <c r="B710" t="s">
        <v>935</v>
      </c>
      <c r="C710" t="s">
        <v>5</v>
      </c>
      <c r="D710" t="s">
        <v>39</v>
      </c>
      <c r="E710" t="s">
        <v>54</v>
      </c>
      <c r="F710" t="s">
        <v>46</v>
      </c>
      <c r="G710" s="3">
        <v>7.1</v>
      </c>
      <c r="H710">
        <v>2130</v>
      </c>
      <c r="I710">
        <v>8320</v>
      </c>
      <c r="J710">
        <v>1.3</v>
      </c>
      <c r="K710">
        <v>5271</v>
      </c>
      <c r="L710" s="2">
        <v>190000</v>
      </c>
      <c r="M710" s="2">
        <v>742000</v>
      </c>
      <c r="N710">
        <v>56</v>
      </c>
      <c r="O710">
        <v>2.2999999999999998</v>
      </c>
      <c r="P710" t="s">
        <v>20</v>
      </c>
      <c r="Q710" t="s">
        <v>16</v>
      </c>
      <c r="R710" s="2">
        <f>Table4[[#This Row],[total_followers]]/(Table4[[#This Row],[total_time_streamed]] / 60)</f>
        <v>2162.7774615822427</v>
      </c>
      <c r="S710" t="str">
        <f>IF(Table4[[#This Row],[avg_games_per_stream]] &gt; 2, "Variety", "Focused")</f>
        <v>Focused</v>
      </c>
      <c r="T710" s="4">
        <f>Table4[[#This Row],[avg_viewers_per_stream]] / Table4[[#This Row],[total_followers]]</f>
        <v>4.3789473684210524E-2</v>
      </c>
    </row>
    <row r="711" spans="1:20">
      <c r="A711">
        <v>711</v>
      </c>
      <c r="B711" t="s">
        <v>936</v>
      </c>
      <c r="C711" t="s">
        <v>63</v>
      </c>
      <c r="D711" t="s">
        <v>39</v>
      </c>
      <c r="E711" t="s">
        <v>595</v>
      </c>
      <c r="G711" s="3">
        <v>7.2</v>
      </c>
      <c r="H711">
        <v>-1277</v>
      </c>
      <c r="I711">
        <v>0</v>
      </c>
      <c r="J711">
        <v>1</v>
      </c>
      <c r="K711">
        <v>140</v>
      </c>
      <c r="L711" s="2">
        <v>0</v>
      </c>
      <c r="M711" s="2">
        <v>0</v>
      </c>
      <c r="N711">
        <v>1</v>
      </c>
      <c r="O711">
        <v>1.4</v>
      </c>
      <c r="P711" t="s">
        <v>18</v>
      </c>
      <c r="Q711" t="s">
        <v>18</v>
      </c>
      <c r="R711" s="2">
        <f>Table4[[#This Row],[total_followers]]/(Table4[[#This Row],[total_time_streamed]] / 60)</f>
        <v>0</v>
      </c>
      <c r="S711" t="str">
        <f>IF(Table4[[#This Row],[avg_games_per_stream]] &gt; 2, "Variety", "Focused")</f>
        <v>Focused</v>
      </c>
      <c r="T711" s="4" t="e">
        <f>Table4[[#This Row],[avg_viewers_per_stream]] / Table4[[#This Row],[total_followers]]</f>
        <v>#DIV/0!</v>
      </c>
    </row>
    <row r="712" spans="1:20">
      <c r="A712">
        <v>712</v>
      </c>
      <c r="B712" t="s">
        <v>937</v>
      </c>
      <c r="C712" t="s">
        <v>4</v>
      </c>
      <c r="D712" t="s">
        <v>39</v>
      </c>
      <c r="E712" t="s">
        <v>40</v>
      </c>
      <c r="F712" t="s">
        <v>51</v>
      </c>
      <c r="G712" s="3">
        <v>3</v>
      </c>
      <c r="H712">
        <v>6400</v>
      </c>
      <c r="I712">
        <v>3666</v>
      </c>
      <c r="J712">
        <v>1.5</v>
      </c>
      <c r="K712">
        <v>1015</v>
      </c>
      <c r="L712" s="2">
        <v>216000</v>
      </c>
      <c r="M712" s="2">
        <v>1240000</v>
      </c>
      <c r="N712">
        <v>86</v>
      </c>
      <c r="O712">
        <v>1</v>
      </c>
      <c r="P712" t="s">
        <v>17</v>
      </c>
      <c r="Q712" t="s">
        <v>14</v>
      </c>
      <c r="R712" s="2">
        <f>Table4[[#This Row],[total_followers]]/(Table4[[#This Row],[total_time_streamed]] / 60)</f>
        <v>12768.47290640394</v>
      </c>
      <c r="S712" t="str">
        <f>IF(Table4[[#This Row],[avg_games_per_stream]] &gt; 2, "Variety", "Focused")</f>
        <v>Focused</v>
      </c>
      <c r="T712" s="4">
        <f>Table4[[#This Row],[avg_viewers_per_stream]] / Table4[[#This Row],[total_followers]]</f>
        <v>1.6972222222222222E-2</v>
      </c>
    </row>
    <row r="713" spans="1:20">
      <c r="A713">
        <v>713</v>
      </c>
      <c r="B713" t="s">
        <v>938</v>
      </c>
      <c r="C713" t="s">
        <v>63</v>
      </c>
      <c r="D713" t="s">
        <v>39</v>
      </c>
      <c r="E713" t="s">
        <v>595</v>
      </c>
      <c r="G713" s="3">
        <v>6.5</v>
      </c>
      <c r="H713">
        <v>30</v>
      </c>
      <c r="I713">
        <v>0</v>
      </c>
      <c r="J713">
        <v>1</v>
      </c>
      <c r="K713">
        <v>130</v>
      </c>
      <c r="L713" s="2">
        <v>10400</v>
      </c>
      <c r="M713" s="2">
        <v>0</v>
      </c>
      <c r="N713">
        <v>1</v>
      </c>
      <c r="O713">
        <v>1.8</v>
      </c>
      <c r="P713" t="s">
        <v>16</v>
      </c>
      <c r="Q713" t="s">
        <v>16</v>
      </c>
      <c r="R713" s="2">
        <f>Table4[[#This Row],[total_followers]]/(Table4[[#This Row],[total_time_streamed]] / 60)</f>
        <v>4800</v>
      </c>
      <c r="S713" t="str">
        <f>IF(Table4[[#This Row],[avg_games_per_stream]] &gt; 2, "Variety", "Focused")</f>
        <v>Focused</v>
      </c>
      <c r="T713" s="4">
        <f>Table4[[#This Row],[avg_viewers_per_stream]] / Table4[[#This Row],[total_followers]]</f>
        <v>0</v>
      </c>
    </row>
    <row r="714" spans="1:20">
      <c r="A714">
        <v>714</v>
      </c>
      <c r="B714" t="s">
        <v>939</v>
      </c>
      <c r="C714" t="s">
        <v>7</v>
      </c>
      <c r="D714" t="s">
        <v>39</v>
      </c>
      <c r="E714" t="s">
        <v>233</v>
      </c>
      <c r="F714" t="s">
        <v>40</v>
      </c>
      <c r="G714" s="3">
        <v>6.2</v>
      </c>
      <c r="H714">
        <v>1600</v>
      </c>
      <c r="I714">
        <v>5368</v>
      </c>
      <c r="J714">
        <v>1.3</v>
      </c>
      <c r="K714">
        <v>1059</v>
      </c>
      <c r="L714" s="2">
        <v>241000</v>
      </c>
      <c r="M714" s="2">
        <v>8050000</v>
      </c>
      <c r="N714">
        <v>70</v>
      </c>
      <c r="O714">
        <v>4.4000000000000004</v>
      </c>
      <c r="P714" t="s">
        <v>15</v>
      </c>
      <c r="Q714" t="s">
        <v>18</v>
      </c>
      <c r="R714" s="2">
        <f>Table4[[#This Row],[total_followers]]/(Table4[[#This Row],[total_time_streamed]] / 60)</f>
        <v>13654.390934844194</v>
      </c>
      <c r="S714" t="str">
        <f>IF(Table4[[#This Row],[avg_games_per_stream]] &gt; 2, "Variety", "Focused")</f>
        <v>Focused</v>
      </c>
      <c r="T714" s="4">
        <f>Table4[[#This Row],[avg_viewers_per_stream]] / Table4[[#This Row],[total_followers]]</f>
        <v>2.2273858921161824E-2</v>
      </c>
    </row>
    <row r="715" spans="1:20">
      <c r="A715">
        <v>715</v>
      </c>
      <c r="B715" t="s">
        <v>940</v>
      </c>
      <c r="C715" t="s">
        <v>61</v>
      </c>
      <c r="D715" t="s">
        <v>39</v>
      </c>
      <c r="E715" t="s">
        <v>54</v>
      </c>
      <c r="F715" t="s">
        <v>40</v>
      </c>
      <c r="G715" s="3">
        <v>4.7</v>
      </c>
      <c r="H715">
        <v>8300</v>
      </c>
      <c r="I715">
        <v>3594</v>
      </c>
      <c r="J715">
        <v>2.2999999999999998</v>
      </c>
      <c r="K715">
        <v>4591</v>
      </c>
      <c r="L715" s="2">
        <v>800000</v>
      </c>
      <c r="M715" s="2">
        <v>3460000</v>
      </c>
      <c r="N715">
        <v>139</v>
      </c>
      <c r="O715">
        <v>3.8</v>
      </c>
      <c r="P715" t="s">
        <v>17</v>
      </c>
      <c r="Q715" t="s">
        <v>14</v>
      </c>
      <c r="R715" s="2">
        <f>Table4[[#This Row],[total_followers]]/(Table4[[#This Row],[total_time_streamed]] / 60)</f>
        <v>10455.238510128513</v>
      </c>
      <c r="S715" t="str">
        <f>IF(Table4[[#This Row],[avg_games_per_stream]] &gt; 2, "Variety", "Focused")</f>
        <v>Variety</v>
      </c>
      <c r="T715" s="4">
        <f>Table4[[#This Row],[avg_viewers_per_stream]] / Table4[[#This Row],[total_followers]]</f>
        <v>4.4925E-3</v>
      </c>
    </row>
    <row r="716" spans="1:20">
      <c r="A716">
        <v>716</v>
      </c>
      <c r="B716" t="s">
        <v>941</v>
      </c>
      <c r="C716" t="s">
        <v>3</v>
      </c>
      <c r="D716" t="s">
        <v>39</v>
      </c>
      <c r="E716" t="s">
        <v>40</v>
      </c>
      <c r="F716" t="s">
        <v>51</v>
      </c>
      <c r="G716" s="3">
        <v>4.2</v>
      </c>
      <c r="H716">
        <v>5700</v>
      </c>
      <c r="I716">
        <v>570</v>
      </c>
      <c r="J716">
        <v>1.7</v>
      </c>
      <c r="K716">
        <v>2302</v>
      </c>
      <c r="L716" s="2">
        <v>232000</v>
      </c>
      <c r="M716" s="2">
        <v>27300</v>
      </c>
      <c r="N716">
        <v>119</v>
      </c>
      <c r="O716">
        <v>3.6</v>
      </c>
      <c r="P716" t="s">
        <v>15</v>
      </c>
      <c r="Q716" t="s">
        <v>15</v>
      </c>
      <c r="R716" s="2">
        <f>Table4[[#This Row],[total_followers]]/(Table4[[#This Row],[total_time_streamed]] / 60)</f>
        <v>6046.9157254561251</v>
      </c>
      <c r="S716" t="str">
        <f>IF(Table4[[#This Row],[avg_games_per_stream]] &gt; 2, "Variety", "Focused")</f>
        <v>Focused</v>
      </c>
      <c r="T716" s="4">
        <f>Table4[[#This Row],[avg_viewers_per_stream]] / Table4[[#This Row],[total_followers]]</f>
        <v>2.4568965517241378E-3</v>
      </c>
    </row>
    <row r="717" spans="1:20">
      <c r="A717">
        <v>717</v>
      </c>
      <c r="B717" t="s">
        <v>942</v>
      </c>
      <c r="C717" t="s">
        <v>63</v>
      </c>
      <c r="D717" t="s">
        <v>39</v>
      </c>
      <c r="E717" t="s">
        <v>595</v>
      </c>
      <c r="G717" s="3">
        <v>5.9</v>
      </c>
      <c r="H717">
        <v>1279</v>
      </c>
      <c r="I717">
        <v>0</v>
      </c>
      <c r="J717">
        <v>1</v>
      </c>
      <c r="K717">
        <v>60</v>
      </c>
      <c r="L717" s="2">
        <v>1300</v>
      </c>
      <c r="M717" s="2">
        <v>0</v>
      </c>
      <c r="N717">
        <v>1</v>
      </c>
      <c r="O717">
        <v>0.8</v>
      </c>
      <c r="P717" t="s">
        <v>15</v>
      </c>
      <c r="Q717" t="s">
        <v>15</v>
      </c>
      <c r="R717" s="2">
        <f>Table4[[#This Row],[total_followers]]/(Table4[[#This Row],[total_time_streamed]] / 60)</f>
        <v>1300</v>
      </c>
      <c r="S717" t="str">
        <f>IF(Table4[[#This Row],[avg_games_per_stream]] &gt; 2, "Variety", "Focused")</f>
        <v>Focused</v>
      </c>
      <c r="T717" s="4">
        <f>Table4[[#This Row],[avg_viewers_per_stream]] / Table4[[#This Row],[total_followers]]</f>
        <v>0</v>
      </c>
    </row>
    <row r="718" spans="1:20">
      <c r="A718">
        <v>718</v>
      </c>
      <c r="B718" t="s">
        <v>943</v>
      </c>
      <c r="C718" t="s">
        <v>6</v>
      </c>
      <c r="D718" t="s">
        <v>39</v>
      </c>
      <c r="E718" t="s">
        <v>98</v>
      </c>
      <c r="F718" t="s">
        <v>85</v>
      </c>
      <c r="G718" s="3">
        <v>7.7</v>
      </c>
      <c r="H718">
        <v>190</v>
      </c>
      <c r="I718">
        <v>0</v>
      </c>
      <c r="J718">
        <v>2</v>
      </c>
      <c r="K718">
        <v>150</v>
      </c>
      <c r="L718" s="2">
        <v>1300</v>
      </c>
      <c r="M718" s="2">
        <v>0</v>
      </c>
      <c r="N718">
        <v>2</v>
      </c>
      <c r="O718">
        <v>0.6</v>
      </c>
      <c r="P718" t="s">
        <v>20</v>
      </c>
      <c r="Q718" t="s">
        <v>20</v>
      </c>
      <c r="R718" s="2">
        <f>Table4[[#This Row],[total_followers]]/(Table4[[#This Row],[total_time_streamed]] / 60)</f>
        <v>520</v>
      </c>
      <c r="S718" t="str">
        <f>IF(Table4[[#This Row],[avg_games_per_stream]] &gt; 2, "Variety", "Focused")</f>
        <v>Focused</v>
      </c>
      <c r="T718" s="4">
        <f>Table4[[#This Row],[avg_viewers_per_stream]] / Table4[[#This Row],[total_followers]]</f>
        <v>0</v>
      </c>
    </row>
    <row r="719" spans="1:20">
      <c r="A719">
        <v>719</v>
      </c>
      <c r="B719" t="s">
        <v>944</v>
      </c>
      <c r="C719" t="s">
        <v>6</v>
      </c>
      <c r="D719" t="s">
        <v>39</v>
      </c>
      <c r="E719" t="s">
        <v>54</v>
      </c>
      <c r="F719" t="s">
        <v>68</v>
      </c>
      <c r="G719" s="3">
        <v>9.6999999999999993</v>
      </c>
      <c r="H719">
        <v>4520</v>
      </c>
      <c r="I719">
        <v>8281</v>
      </c>
      <c r="J719">
        <v>1.8</v>
      </c>
      <c r="K719">
        <v>12403</v>
      </c>
      <c r="L719" s="2">
        <v>595000</v>
      </c>
      <c r="M719" s="2">
        <v>10900000</v>
      </c>
      <c r="N719">
        <v>154</v>
      </c>
      <c r="O719">
        <v>5.0999999999999996</v>
      </c>
      <c r="P719" t="s">
        <v>17</v>
      </c>
      <c r="Q719" t="s">
        <v>14</v>
      </c>
      <c r="R719" s="2">
        <f>Table4[[#This Row],[total_followers]]/(Table4[[#This Row],[total_time_streamed]] / 60)</f>
        <v>2878.3358864790775</v>
      </c>
      <c r="S719" t="str">
        <f>IF(Table4[[#This Row],[avg_games_per_stream]] &gt; 2, "Variety", "Focused")</f>
        <v>Focused</v>
      </c>
      <c r="T719" s="4">
        <f>Table4[[#This Row],[avg_viewers_per_stream]] / Table4[[#This Row],[total_followers]]</f>
        <v>1.3917647058823529E-2</v>
      </c>
    </row>
    <row r="720" spans="1:20">
      <c r="A720">
        <v>720</v>
      </c>
      <c r="B720" t="s">
        <v>945</v>
      </c>
      <c r="C720" t="s">
        <v>6</v>
      </c>
      <c r="D720" t="s">
        <v>39</v>
      </c>
      <c r="E720" t="s">
        <v>85</v>
      </c>
      <c r="F720" t="s">
        <v>98</v>
      </c>
      <c r="G720" s="3">
        <v>17.7</v>
      </c>
      <c r="H720">
        <v>560</v>
      </c>
      <c r="I720">
        <v>0</v>
      </c>
      <c r="J720">
        <v>1.3</v>
      </c>
      <c r="K720">
        <v>1420</v>
      </c>
      <c r="L720" s="2">
        <v>1600</v>
      </c>
      <c r="M720" s="2">
        <v>0</v>
      </c>
      <c r="N720">
        <v>2</v>
      </c>
      <c r="O720">
        <v>1.6</v>
      </c>
      <c r="P720" t="s">
        <v>17</v>
      </c>
      <c r="Q720" t="s">
        <v>17</v>
      </c>
      <c r="R720" s="2">
        <f>Table4[[#This Row],[total_followers]]/(Table4[[#This Row],[total_time_streamed]] / 60)</f>
        <v>67.605633802816897</v>
      </c>
      <c r="S720" t="str">
        <f>IF(Table4[[#This Row],[avg_games_per_stream]] &gt; 2, "Variety", "Focused")</f>
        <v>Focused</v>
      </c>
      <c r="T720" s="4">
        <f>Table4[[#This Row],[avg_viewers_per_stream]] / Table4[[#This Row],[total_followers]]</f>
        <v>0</v>
      </c>
    </row>
    <row r="721" spans="1:20">
      <c r="A721">
        <v>721</v>
      </c>
      <c r="B721" t="s">
        <v>946</v>
      </c>
      <c r="C721" t="s">
        <v>3</v>
      </c>
      <c r="D721" t="s">
        <v>39</v>
      </c>
      <c r="E721" t="s">
        <v>46</v>
      </c>
      <c r="F721" t="s">
        <v>123</v>
      </c>
      <c r="G721" s="3">
        <v>5.5</v>
      </c>
      <c r="H721">
        <v>5070</v>
      </c>
      <c r="I721">
        <v>22081</v>
      </c>
      <c r="J721">
        <v>1</v>
      </c>
      <c r="K721">
        <v>3819</v>
      </c>
      <c r="L721" s="2">
        <v>613000</v>
      </c>
      <c r="M721" s="2">
        <v>25000000</v>
      </c>
      <c r="N721">
        <v>8</v>
      </c>
      <c r="O721">
        <v>1.8</v>
      </c>
      <c r="P721" t="s">
        <v>17</v>
      </c>
      <c r="Q721" t="s">
        <v>14</v>
      </c>
      <c r="R721" s="2">
        <f>Table4[[#This Row],[total_followers]]/(Table4[[#This Row],[total_time_streamed]] / 60)</f>
        <v>9630.7934014139828</v>
      </c>
      <c r="S721" t="str">
        <f>IF(Table4[[#This Row],[avg_games_per_stream]] &gt; 2, "Variety", "Focused")</f>
        <v>Focused</v>
      </c>
      <c r="T721" s="4">
        <f>Table4[[#This Row],[avg_viewers_per_stream]] / Table4[[#This Row],[total_followers]]</f>
        <v>3.6021207177814027E-2</v>
      </c>
    </row>
    <row r="722" spans="1:20">
      <c r="A722">
        <v>722</v>
      </c>
      <c r="B722" t="s">
        <v>947</v>
      </c>
      <c r="C722" t="s">
        <v>7</v>
      </c>
      <c r="D722" t="s">
        <v>58</v>
      </c>
      <c r="E722" t="s">
        <v>948</v>
      </c>
      <c r="F722" t="s">
        <v>949</v>
      </c>
      <c r="G722" s="3">
        <v>3.2</v>
      </c>
      <c r="H722">
        <v>1770</v>
      </c>
      <c r="I722">
        <v>13862</v>
      </c>
      <c r="J722">
        <v>1</v>
      </c>
      <c r="K722">
        <v>4664</v>
      </c>
      <c r="L722" s="2">
        <v>311000</v>
      </c>
      <c r="M722" s="2">
        <v>24300000</v>
      </c>
      <c r="N722">
        <v>3</v>
      </c>
      <c r="O722">
        <v>4.3</v>
      </c>
      <c r="P722" t="s">
        <v>20</v>
      </c>
      <c r="Q722" t="s">
        <v>20</v>
      </c>
      <c r="R722" s="2">
        <f>Table4[[#This Row],[total_followers]]/(Table4[[#This Row],[total_time_streamed]] / 60)</f>
        <v>4000.8576329331045</v>
      </c>
      <c r="S722" t="str">
        <f>IF(Table4[[#This Row],[avg_games_per_stream]] &gt; 2, "Variety", "Focused")</f>
        <v>Focused</v>
      </c>
      <c r="T722" s="4">
        <f>Table4[[#This Row],[avg_viewers_per_stream]] / Table4[[#This Row],[total_followers]]</f>
        <v>4.4572347266881029E-2</v>
      </c>
    </row>
    <row r="723" spans="1:20">
      <c r="A723">
        <v>723</v>
      </c>
      <c r="B723" t="s">
        <v>950</v>
      </c>
      <c r="C723" t="s">
        <v>61</v>
      </c>
      <c r="D723" t="s">
        <v>39</v>
      </c>
      <c r="E723" t="s">
        <v>51</v>
      </c>
      <c r="F723" t="s">
        <v>40</v>
      </c>
      <c r="G723" s="3">
        <v>5.5</v>
      </c>
      <c r="H723">
        <v>4520</v>
      </c>
      <c r="I723">
        <v>1786</v>
      </c>
      <c r="J723">
        <v>1.9</v>
      </c>
      <c r="K723">
        <v>9967</v>
      </c>
      <c r="L723" s="2">
        <v>884000</v>
      </c>
      <c r="M723" s="2">
        <v>3500000</v>
      </c>
      <c r="N723">
        <v>138</v>
      </c>
      <c r="O723">
        <v>4.7</v>
      </c>
      <c r="P723" t="s">
        <v>14</v>
      </c>
      <c r="Q723" t="s">
        <v>14</v>
      </c>
      <c r="R723" s="2">
        <f>Table4[[#This Row],[total_followers]]/(Table4[[#This Row],[total_time_streamed]] / 60)</f>
        <v>5321.5611518009428</v>
      </c>
      <c r="S723" t="str">
        <f>IF(Table4[[#This Row],[avg_games_per_stream]] &gt; 2, "Variety", "Focused")</f>
        <v>Focused</v>
      </c>
      <c r="T723" s="4">
        <f>Table4[[#This Row],[avg_viewers_per_stream]] / Table4[[#This Row],[total_followers]]</f>
        <v>2.0203619909502264E-3</v>
      </c>
    </row>
    <row r="724" spans="1:20">
      <c r="A724">
        <v>724</v>
      </c>
      <c r="B724" t="s">
        <v>951</v>
      </c>
      <c r="C724" t="s">
        <v>3</v>
      </c>
      <c r="D724" t="s">
        <v>39</v>
      </c>
      <c r="E724" t="s">
        <v>54</v>
      </c>
      <c r="F724" t="s">
        <v>952</v>
      </c>
      <c r="G724" s="3">
        <v>2.9</v>
      </c>
      <c r="H724">
        <v>175</v>
      </c>
      <c r="I724">
        <v>700</v>
      </c>
      <c r="J724">
        <v>1.1000000000000001</v>
      </c>
      <c r="K724">
        <v>7600</v>
      </c>
      <c r="L724" s="2">
        <v>390000</v>
      </c>
      <c r="M724" s="2">
        <v>15600</v>
      </c>
      <c r="N724">
        <v>14</v>
      </c>
      <c r="O724">
        <v>0.8</v>
      </c>
      <c r="P724" t="s">
        <v>14</v>
      </c>
      <c r="Q724" t="s">
        <v>16</v>
      </c>
      <c r="R724" s="2">
        <f>Table4[[#This Row],[total_followers]]/(Table4[[#This Row],[total_time_streamed]] / 60)</f>
        <v>3078.9473684210525</v>
      </c>
      <c r="S724" t="str">
        <f>IF(Table4[[#This Row],[avg_games_per_stream]] &gt; 2, "Variety", "Focused")</f>
        <v>Focused</v>
      </c>
      <c r="T724" s="4">
        <f>Table4[[#This Row],[avg_viewers_per_stream]] / Table4[[#This Row],[total_followers]]</f>
        <v>1.7948717948717949E-3</v>
      </c>
    </row>
    <row r="725" spans="1:20">
      <c r="A725">
        <v>725</v>
      </c>
      <c r="B725" t="s">
        <v>953</v>
      </c>
      <c r="C725" t="s">
        <v>3</v>
      </c>
      <c r="D725" t="s">
        <v>39</v>
      </c>
      <c r="E725" t="s">
        <v>88</v>
      </c>
      <c r="F725" t="s">
        <v>40</v>
      </c>
      <c r="G725" s="3">
        <v>5.7</v>
      </c>
      <c r="H725">
        <v>1192</v>
      </c>
      <c r="I725">
        <v>4100</v>
      </c>
      <c r="J725">
        <v>1.2</v>
      </c>
      <c r="K725">
        <v>5203</v>
      </c>
      <c r="L725" s="2">
        <v>1180000</v>
      </c>
      <c r="M725" s="2">
        <v>404000</v>
      </c>
      <c r="N725">
        <v>22</v>
      </c>
      <c r="O725">
        <v>5.2</v>
      </c>
      <c r="P725" t="s">
        <v>16</v>
      </c>
      <c r="Q725" t="s">
        <v>14</v>
      </c>
      <c r="R725" s="2">
        <f>Table4[[#This Row],[total_followers]]/(Table4[[#This Row],[total_time_streamed]] / 60)</f>
        <v>13607.534114933691</v>
      </c>
      <c r="S725" t="str">
        <f>IF(Table4[[#This Row],[avg_games_per_stream]] &gt; 2, "Variety", "Focused")</f>
        <v>Focused</v>
      </c>
      <c r="T725" s="4">
        <f>Table4[[#This Row],[avg_viewers_per_stream]] / Table4[[#This Row],[total_followers]]</f>
        <v>3.4745762711864405E-3</v>
      </c>
    </row>
    <row r="726" spans="1:20">
      <c r="A726">
        <v>726</v>
      </c>
      <c r="B726" t="s">
        <v>954</v>
      </c>
      <c r="C726" t="s">
        <v>63</v>
      </c>
      <c r="D726" t="s">
        <v>39</v>
      </c>
      <c r="E726" t="s">
        <v>595</v>
      </c>
      <c r="G726" s="3">
        <v>11.8</v>
      </c>
      <c r="H726">
        <v>40</v>
      </c>
      <c r="I726">
        <v>0</v>
      </c>
      <c r="J726">
        <v>1</v>
      </c>
      <c r="K726">
        <v>120</v>
      </c>
      <c r="L726" s="2">
        <v>4</v>
      </c>
      <c r="M726" s="2">
        <v>0</v>
      </c>
      <c r="N726">
        <v>1</v>
      </c>
      <c r="O726">
        <v>1</v>
      </c>
      <c r="P726" t="s">
        <v>19</v>
      </c>
      <c r="Q726" t="s">
        <v>19</v>
      </c>
      <c r="R726" s="2">
        <f>Table4[[#This Row],[total_followers]]/(Table4[[#This Row],[total_time_streamed]] / 60)</f>
        <v>2</v>
      </c>
      <c r="S726" t="str">
        <f>IF(Table4[[#This Row],[avg_games_per_stream]] &gt; 2, "Variety", "Focused")</f>
        <v>Focused</v>
      </c>
      <c r="T726" s="4">
        <f>Table4[[#This Row],[avg_viewers_per_stream]] / Table4[[#This Row],[total_followers]]</f>
        <v>0</v>
      </c>
    </row>
    <row r="727" spans="1:20">
      <c r="A727">
        <v>727</v>
      </c>
      <c r="B727" t="s">
        <v>955</v>
      </c>
      <c r="C727" t="s">
        <v>6</v>
      </c>
      <c r="D727" t="s">
        <v>39</v>
      </c>
      <c r="E727" t="s">
        <v>40</v>
      </c>
      <c r="F727" t="s">
        <v>12</v>
      </c>
      <c r="G727" s="3">
        <v>8.8000000000000007</v>
      </c>
      <c r="H727">
        <v>4490</v>
      </c>
      <c r="I727">
        <v>0</v>
      </c>
      <c r="J727">
        <v>2.2999999999999998</v>
      </c>
      <c r="K727">
        <v>5450</v>
      </c>
      <c r="L727" s="2">
        <v>24800</v>
      </c>
      <c r="M727" s="2">
        <v>0</v>
      </c>
      <c r="N727">
        <v>51</v>
      </c>
      <c r="O727">
        <v>0.9</v>
      </c>
      <c r="P727" t="s">
        <v>17</v>
      </c>
      <c r="Q727" t="s">
        <v>19</v>
      </c>
      <c r="R727" s="2">
        <f>Table4[[#This Row],[total_followers]]/(Table4[[#This Row],[total_time_streamed]] / 60)</f>
        <v>273.02752293577981</v>
      </c>
      <c r="S727" t="str">
        <f>IF(Table4[[#This Row],[avg_games_per_stream]] &gt; 2, "Variety", "Focused")</f>
        <v>Variety</v>
      </c>
      <c r="T727" s="4">
        <f>Table4[[#This Row],[avg_viewers_per_stream]] / Table4[[#This Row],[total_followers]]</f>
        <v>0</v>
      </c>
    </row>
    <row r="728" spans="1:20">
      <c r="A728">
        <v>728</v>
      </c>
      <c r="B728" t="s">
        <v>956</v>
      </c>
      <c r="C728" t="s">
        <v>3</v>
      </c>
      <c r="D728" t="s">
        <v>39</v>
      </c>
      <c r="E728" t="s">
        <v>957</v>
      </c>
      <c r="F728" t="s">
        <v>958</v>
      </c>
      <c r="G728" s="3">
        <v>4.2</v>
      </c>
      <c r="H728">
        <v>1603</v>
      </c>
      <c r="I728">
        <v>2585</v>
      </c>
      <c r="J728">
        <v>1.2</v>
      </c>
      <c r="K728">
        <v>1676</v>
      </c>
      <c r="L728" s="2">
        <v>541000</v>
      </c>
      <c r="M728" s="2">
        <v>1030000</v>
      </c>
      <c r="N728">
        <v>94</v>
      </c>
      <c r="O728">
        <v>1</v>
      </c>
      <c r="P728" t="s">
        <v>18</v>
      </c>
      <c r="Q728" t="s">
        <v>15</v>
      </c>
      <c r="R728" s="2">
        <f>Table4[[#This Row],[total_followers]]/(Table4[[#This Row],[total_time_streamed]] / 60)</f>
        <v>19367.541766109785</v>
      </c>
      <c r="S728" t="str">
        <f>IF(Table4[[#This Row],[avg_games_per_stream]] &gt; 2, "Variety", "Focused")</f>
        <v>Focused</v>
      </c>
      <c r="T728" s="4">
        <f>Table4[[#This Row],[avg_viewers_per_stream]] / Table4[[#This Row],[total_followers]]</f>
        <v>4.7781885397412197E-3</v>
      </c>
    </row>
    <row r="729" spans="1:20">
      <c r="A729">
        <v>729</v>
      </c>
      <c r="B729" t="s">
        <v>959</v>
      </c>
      <c r="C729" t="s">
        <v>61</v>
      </c>
      <c r="D729" t="s">
        <v>39</v>
      </c>
      <c r="E729" t="s">
        <v>40</v>
      </c>
      <c r="F729" t="s">
        <v>79</v>
      </c>
      <c r="G729" s="3">
        <v>4.3</v>
      </c>
      <c r="H729">
        <v>960</v>
      </c>
      <c r="I729">
        <v>7716</v>
      </c>
      <c r="J729">
        <v>1.4</v>
      </c>
      <c r="K729">
        <v>6344</v>
      </c>
      <c r="L729" s="2">
        <v>252000</v>
      </c>
      <c r="M729" s="2">
        <v>14600000</v>
      </c>
      <c r="N729">
        <v>321</v>
      </c>
      <c r="O729">
        <v>3.8</v>
      </c>
      <c r="P729" t="s">
        <v>16</v>
      </c>
      <c r="Q729" t="s">
        <v>15</v>
      </c>
      <c r="R729" s="2">
        <f>Table4[[#This Row],[total_followers]]/(Table4[[#This Row],[total_time_streamed]] / 60)</f>
        <v>2383.3543505674652</v>
      </c>
      <c r="S729" t="str">
        <f>IF(Table4[[#This Row],[avg_games_per_stream]] &gt; 2, "Variety", "Focused")</f>
        <v>Focused</v>
      </c>
      <c r="T729" s="4">
        <f>Table4[[#This Row],[avg_viewers_per_stream]] / Table4[[#This Row],[total_followers]]</f>
        <v>3.0619047619047619E-2</v>
      </c>
    </row>
    <row r="730" spans="1:20">
      <c r="A730">
        <v>730</v>
      </c>
      <c r="B730" t="s">
        <v>960</v>
      </c>
      <c r="C730" t="s">
        <v>3</v>
      </c>
      <c r="D730" t="s">
        <v>39</v>
      </c>
      <c r="E730" t="s">
        <v>88</v>
      </c>
      <c r="F730" t="s">
        <v>319</v>
      </c>
      <c r="G730" s="3">
        <v>10.8</v>
      </c>
      <c r="H730">
        <v>2150</v>
      </c>
      <c r="I730">
        <v>3774</v>
      </c>
      <c r="J730">
        <v>1.2</v>
      </c>
      <c r="K730">
        <v>19573</v>
      </c>
      <c r="L730" s="2">
        <v>422000</v>
      </c>
      <c r="M730" s="2">
        <v>7400000</v>
      </c>
      <c r="N730">
        <v>46</v>
      </c>
      <c r="O730">
        <v>5.7</v>
      </c>
      <c r="P730" t="s">
        <v>20</v>
      </c>
      <c r="Q730" t="s">
        <v>14</v>
      </c>
      <c r="R730" s="2">
        <f>Table4[[#This Row],[total_followers]]/(Table4[[#This Row],[total_time_streamed]] / 60)</f>
        <v>1293.6187605374753</v>
      </c>
      <c r="S730" t="str">
        <f>IF(Table4[[#This Row],[avg_games_per_stream]] &gt; 2, "Variety", "Focused")</f>
        <v>Focused</v>
      </c>
      <c r="T730" s="4">
        <f>Table4[[#This Row],[avg_viewers_per_stream]] / Table4[[#This Row],[total_followers]]</f>
        <v>8.9431279620853076E-3</v>
      </c>
    </row>
    <row r="731" spans="1:20">
      <c r="A731">
        <v>731</v>
      </c>
      <c r="B731" t="s">
        <v>961</v>
      </c>
      <c r="C731" t="s">
        <v>3</v>
      </c>
      <c r="D731" t="s">
        <v>39</v>
      </c>
      <c r="E731" t="s">
        <v>157</v>
      </c>
      <c r="F731" t="s">
        <v>145</v>
      </c>
      <c r="G731" s="3">
        <v>3.5</v>
      </c>
      <c r="H731">
        <v>1168</v>
      </c>
      <c r="I731">
        <v>2238</v>
      </c>
      <c r="J731">
        <v>1.2</v>
      </c>
      <c r="K731">
        <v>2455</v>
      </c>
      <c r="L731" s="2">
        <v>889000</v>
      </c>
      <c r="M731" s="2">
        <v>1700000</v>
      </c>
      <c r="N731">
        <v>34</v>
      </c>
      <c r="O731">
        <v>2.2999999999999998</v>
      </c>
      <c r="P731" t="s">
        <v>18</v>
      </c>
      <c r="Q731" t="s">
        <v>18</v>
      </c>
      <c r="R731" s="2">
        <f>Table4[[#This Row],[total_followers]]/(Table4[[#This Row],[total_time_streamed]] / 60)</f>
        <v>21727.087576374746</v>
      </c>
      <c r="S731" t="str">
        <f>IF(Table4[[#This Row],[avg_games_per_stream]] &gt; 2, "Variety", "Focused")</f>
        <v>Focused</v>
      </c>
      <c r="T731" s="4">
        <f>Table4[[#This Row],[avg_viewers_per_stream]] / Table4[[#This Row],[total_followers]]</f>
        <v>2.5174353205849268E-3</v>
      </c>
    </row>
    <row r="732" spans="1:20">
      <c r="A732">
        <v>732</v>
      </c>
      <c r="B732" t="s">
        <v>962</v>
      </c>
      <c r="C732" t="s">
        <v>63</v>
      </c>
      <c r="D732" t="s">
        <v>39</v>
      </c>
      <c r="E732" t="s">
        <v>53</v>
      </c>
      <c r="F732" t="s">
        <v>963</v>
      </c>
      <c r="G732" s="3">
        <v>4.5</v>
      </c>
      <c r="H732">
        <v>1120</v>
      </c>
      <c r="I732">
        <v>9303</v>
      </c>
      <c r="J732">
        <v>1.4</v>
      </c>
      <c r="K732">
        <v>9759</v>
      </c>
      <c r="L732" s="2">
        <v>254000</v>
      </c>
      <c r="M732" s="2">
        <v>20100000</v>
      </c>
      <c r="N732">
        <v>635</v>
      </c>
      <c r="O732">
        <v>4.8</v>
      </c>
      <c r="P732" t="s">
        <v>19</v>
      </c>
      <c r="Q732" t="s">
        <v>18</v>
      </c>
      <c r="R732" s="2">
        <f>Table4[[#This Row],[total_followers]]/(Table4[[#This Row],[total_time_streamed]] / 60)</f>
        <v>1561.6354134644941</v>
      </c>
      <c r="S732" t="str">
        <f>IF(Table4[[#This Row],[avg_games_per_stream]] &gt; 2, "Variety", "Focused")</f>
        <v>Focused</v>
      </c>
      <c r="T732" s="4">
        <f>Table4[[#This Row],[avg_viewers_per_stream]] / Table4[[#This Row],[total_followers]]</f>
        <v>3.6625984251968502E-2</v>
      </c>
    </row>
    <row r="733" spans="1:20">
      <c r="A733">
        <v>733</v>
      </c>
      <c r="B733" t="s">
        <v>964</v>
      </c>
      <c r="C733" t="s">
        <v>3</v>
      </c>
      <c r="D733" t="s">
        <v>39</v>
      </c>
      <c r="E733" t="s">
        <v>79</v>
      </c>
      <c r="F733" t="s">
        <v>93</v>
      </c>
      <c r="G733" s="3">
        <v>6.3</v>
      </c>
      <c r="H733">
        <v>5640</v>
      </c>
      <c r="I733">
        <v>21401</v>
      </c>
      <c r="J733">
        <v>1.2</v>
      </c>
      <c r="K733">
        <v>9452</v>
      </c>
      <c r="L733" s="2">
        <v>895000</v>
      </c>
      <c r="M733" s="2">
        <v>34000000</v>
      </c>
      <c r="N733">
        <v>132</v>
      </c>
      <c r="O733">
        <v>3.9</v>
      </c>
      <c r="P733" t="s">
        <v>20</v>
      </c>
      <c r="Q733" t="s">
        <v>14</v>
      </c>
      <c r="R733" s="2">
        <f>Table4[[#This Row],[total_followers]]/(Table4[[#This Row],[total_time_streamed]] / 60)</f>
        <v>5681.3372831146844</v>
      </c>
      <c r="S733" t="str">
        <f>IF(Table4[[#This Row],[avg_games_per_stream]] &gt; 2, "Variety", "Focused")</f>
        <v>Focused</v>
      </c>
      <c r="T733" s="4">
        <f>Table4[[#This Row],[avg_viewers_per_stream]] / Table4[[#This Row],[total_followers]]</f>
        <v>2.391173184357542E-2</v>
      </c>
    </row>
    <row r="734" spans="1:20">
      <c r="A734">
        <v>734</v>
      </c>
      <c r="B734" t="s">
        <v>965</v>
      </c>
      <c r="C734" t="s">
        <v>3</v>
      </c>
      <c r="D734" t="s">
        <v>39</v>
      </c>
      <c r="E734" t="s">
        <v>123</v>
      </c>
      <c r="F734" t="s">
        <v>966</v>
      </c>
      <c r="G734" s="3">
        <v>5.9</v>
      </c>
      <c r="H734">
        <v>2200</v>
      </c>
      <c r="I734">
        <v>100</v>
      </c>
      <c r="J734">
        <v>1</v>
      </c>
      <c r="K734">
        <v>322</v>
      </c>
      <c r="L734" s="2">
        <v>99100</v>
      </c>
      <c r="M734" s="2">
        <v>4400</v>
      </c>
      <c r="N734">
        <v>11</v>
      </c>
      <c r="O734">
        <v>1.8</v>
      </c>
      <c r="P734" t="s">
        <v>15</v>
      </c>
      <c r="Q734" t="s">
        <v>16</v>
      </c>
      <c r="R734" s="2">
        <f>Table4[[#This Row],[total_followers]]/(Table4[[#This Row],[total_time_streamed]] / 60)</f>
        <v>18465.838509316771</v>
      </c>
      <c r="S734" t="str">
        <f>IF(Table4[[#This Row],[avg_games_per_stream]] &gt; 2, "Variety", "Focused")</f>
        <v>Focused</v>
      </c>
      <c r="T734" s="4">
        <f>Table4[[#This Row],[avg_viewers_per_stream]] / Table4[[#This Row],[total_followers]]</f>
        <v>1.0090817356205853E-3</v>
      </c>
    </row>
    <row r="735" spans="1:20">
      <c r="A735">
        <v>735</v>
      </c>
      <c r="B735" t="s">
        <v>967</v>
      </c>
      <c r="C735" t="s">
        <v>91</v>
      </c>
      <c r="D735" t="s">
        <v>39</v>
      </c>
      <c r="E735" t="s">
        <v>330</v>
      </c>
      <c r="F735" t="s">
        <v>40</v>
      </c>
      <c r="G735" s="3">
        <v>4.7</v>
      </c>
      <c r="H735">
        <v>1238</v>
      </c>
      <c r="I735">
        <v>20409</v>
      </c>
      <c r="J735">
        <v>2.2999999999999998</v>
      </c>
      <c r="K735">
        <v>8591</v>
      </c>
      <c r="L735" s="2">
        <v>1820000</v>
      </c>
      <c r="M735" s="2">
        <v>30100000</v>
      </c>
      <c r="N735">
        <v>243</v>
      </c>
      <c r="O735">
        <v>4.8</v>
      </c>
      <c r="P735" t="s">
        <v>20</v>
      </c>
      <c r="Q735" t="s">
        <v>18</v>
      </c>
      <c r="R735" s="2">
        <f>Table4[[#This Row],[total_followers]]/(Table4[[#This Row],[total_time_streamed]] / 60)</f>
        <v>12710.976603422185</v>
      </c>
      <c r="S735" t="str">
        <f>IF(Table4[[#This Row],[avg_games_per_stream]] &gt; 2, "Variety", "Focused")</f>
        <v>Variety</v>
      </c>
      <c r="T735" s="4">
        <f>Table4[[#This Row],[avg_viewers_per_stream]] / Table4[[#This Row],[total_followers]]</f>
        <v>1.1213736263736264E-2</v>
      </c>
    </row>
    <row r="736" spans="1:20">
      <c r="A736">
        <v>736</v>
      </c>
      <c r="B736" t="s">
        <v>968</v>
      </c>
      <c r="C736" t="s">
        <v>3</v>
      </c>
      <c r="D736" t="s">
        <v>39</v>
      </c>
      <c r="E736" t="s">
        <v>858</v>
      </c>
      <c r="F736" t="s">
        <v>859</v>
      </c>
      <c r="G736" s="3">
        <v>8.6</v>
      </c>
      <c r="H736">
        <v>1930</v>
      </c>
      <c r="I736">
        <v>4509</v>
      </c>
      <c r="J736">
        <v>1</v>
      </c>
      <c r="K736">
        <v>7534</v>
      </c>
      <c r="L736" s="2">
        <v>151000</v>
      </c>
      <c r="M736" s="2">
        <v>3520000</v>
      </c>
      <c r="N736">
        <v>12</v>
      </c>
      <c r="O736">
        <v>2.6</v>
      </c>
      <c r="P736" t="s">
        <v>14</v>
      </c>
      <c r="Q736" t="s">
        <v>17</v>
      </c>
      <c r="R736" s="2">
        <f>Table4[[#This Row],[total_followers]]/(Table4[[#This Row],[total_time_streamed]] / 60)</f>
        <v>1202.548447040085</v>
      </c>
      <c r="S736" t="str">
        <f>IF(Table4[[#This Row],[avg_games_per_stream]] &gt; 2, "Variety", "Focused")</f>
        <v>Focused</v>
      </c>
      <c r="T736" s="4">
        <f>Table4[[#This Row],[avg_viewers_per_stream]] / Table4[[#This Row],[total_followers]]</f>
        <v>2.9860927152317879E-2</v>
      </c>
    </row>
    <row r="737" spans="1:20">
      <c r="A737">
        <v>737</v>
      </c>
      <c r="B737" t="s">
        <v>969</v>
      </c>
      <c r="C737" t="s">
        <v>63</v>
      </c>
      <c r="D737" t="s">
        <v>39</v>
      </c>
      <c r="E737" t="s">
        <v>595</v>
      </c>
      <c r="G737" s="3">
        <v>3.3</v>
      </c>
      <c r="H737">
        <v>1850</v>
      </c>
      <c r="I737">
        <v>0</v>
      </c>
      <c r="J737">
        <v>1</v>
      </c>
      <c r="K737">
        <v>70</v>
      </c>
      <c r="L737" s="2">
        <v>1300</v>
      </c>
      <c r="M737" s="2">
        <v>0</v>
      </c>
      <c r="N737">
        <v>1</v>
      </c>
      <c r="O737">
        <v>1.6</v>
      </c>
      <c r="P737" t="s">
        <v>15</v>
      </c>
      <c r="Q737" t="s">
        <v>15</v>
      </c>
      <c r="R737" s="2">
        <f>Table4[[#This Row],[total_followers]]/(Table4[[#This Row],[total_time_streamed]] / 60)</f>
        <v>1114.2857142857142</v>
      </c>
      <c r="S737" t="str">
        <f>IF(Table4[[#This Row],[avg_games_per_stream]] &gt; 2, "Variety", "Focused")</f>
        <v>Focused</v>
      </c>
      <c r="T737" s="4">
        <f>Table4[[#This Row],[avg_viewers_per_stream]] / Table4[[#This Row],[total_followers]]</f>
        <v>0</v>
      </c>
    </row>
    <row r="738" spans="1:20">
      <c r="A738">
        <v>738</v>
      </c>
      <c r="B738" t="s">
        <v>970</v>
      </c>
      <c r="C738" t="s">
        <v>3</v>
      </c>
      <c r="D738" t="s">
        <v>39</v>
      </c>
      <c r="E738" t="s">
        <v>371</v>
      </c>
      <c r="F738" t="s">
        <v>971</v>
      </c>
      <c r="G738" s="3">
        <v>5.3</v>
      </c>
      <c r="H738">
        <v>3860</v>
      </c>
      <c r="I738">
        <v>3227</v>
      </c>
      <c r="J738">
        <v>1</v>
      </c>
      <c r="K738">
        <v>5811</v>
      </c>
      <c r="L738" s="2">
        <v>413000</v>
      </c>
      <c r="M738" s="2">
        <v>3450000</v>
      </c>
      <c r="N738">
        <v>28</v>
      </c>
      <c r="O738">
        <v>4.4000000000000004</v>
      </c>
      <c r="P738" t="s">
        <v>16</v>
      </c>
      <c r="Q738" t="s">
        <v>16</v>
      </c>
      <c r="R738" s="2">
        <f>Table4[[#This Row],[total_followers]]/(Table4[[#This Row],[total_time_streamed]] / 60)</f>
        <v>4264.3262777490972</v>
      </c>
      <c r="S738" t="str">
        <f>IF(Table4[[#This Row],[avg_games_per_stream]] &gt; 2, "Variety", "Focused")</f>
        <v>Focused</v>
      </c>
      <c r="T738" s="4">
        <f>Table4[[#This Row],[avg_viewers_per_stream]] / Table4[[#This Row],[total_followers]]</f>
        <v>7.813559322033899E-3</v>
      </c>
    </row>
    <row r="739" spans="1:20">
      <c r="A739">
        <v>739</v>
      </c>
      <c r="B739" t="s">
        <v>972</v>
      </c>
      <c r="C739" t="s">
        <v>3</v>
      </c>
      <c r="D739" t="s">
        <v>39</v>
      </c>
      <c r="E739" t="s">
        <v>117</v>
      </c>
      <c r="F739" t="s">
        <v>54</v>
      </c>
      <c r="G739" s="3">
        <v>8.9</v>
      </c>
      <c r="H739">
        <v>130</v>
      </c>
      <c r="I739">
        <v>560</v>
      </c>
      <c r="J739">
        <v>1.5</v>
      </c>
      <c r="K739">
        <v>4263</v>
      </c>
      <c r="L739" s="2">
        <v>6500</v>
      </c>
      <c r="M739" s="2">
        <v>27700</v>
      </c>
      <c r="N739">
        <v>12</v>
      </c>
      <c r="O739">
        <v>2.5</v>
      </c>
      <c r="P739" t="s">
        <v>17</v>
      </c>
      <c r="Q739" t="s">
        <v>14</v>
      </c>
      <c r="R739" s="2">
        <f>Table4[[#This Row],[total_followers]]/(Table4[[#This Row],[total_time_streamed]] / 60)</f>
        <v>91.484869809992972</v>
      </c>
      <c r="S739" t="str">
        <f>IF(Table4[[#This Row],[avg_games_per_stream]] &gt; 2, "Variety", "Focused")</f>
        <v>Focused</v>
      </c>
      <c r="T739" s="4">
        <f>Table4[[#This Row],[avg_viewers_per_stream]] / Table4[[#This Row],[total_followers]]</f>
        <v>8.615384615384615E-2</v>
      </c>
    </row>
    <row r="740" spans="1:20">
      <c r="A740">
        <v>740</v>
      </c>
      <c r="B740" t="s">
        <v>973</v>
      </c>
      <c r="C740" t="s">
        <v>4</v>
      </c>
      <c r="D740" t="s">
        <v>58</v>
      </c>
      <c r="E740" t="s">
        <v>189</v>
      </c>
      <c r="F740" t="s">
        <v>974</v>
      </c>
      <c r="G740" s="3">
        <v>22</v>
      </c>
      <c r="H740">
        <v>1460</v>
      </c>
      <c r="I740">
        <v>42375</v>
      </c>
      <c r="J740">
        <v>1.4</v>
      </c>
      <c r="K740">
        <v>42099</v>
      </c>
      <c r="L740" s="2">
        <v>204000</v>
      </c>
      <c r="M740" s="2">
        <v>57100000</v>
      </c>
      <c r="N740">
        <v>99</v>
      </c>
      <c r="O740">
        <v>7</v>
      </c>
      <c r="P740" t="s">
        <v>17</v>
      </c>
      <c r="Q740" t="s">
        <v>17</v>
      </c>
      <c r="R740" s="2">
        <f>Table4[[#This Row],[total_followers]]/(Table4[[#This Row],[total_time_streamed]] / 60)</f>
        <v>290.74324805814865</v>
      </c>
      <c r="S740" t="str">
        <f>IF(Table4[[#This Row],[avg_games_per_stream]] &gt; 2, "Variety", "Focused")</f>
        <v>Focused</v>
      </c>
      <c r="T740" s="4">
        <f>Table4[[#This Row],[avg_viewers_per_stream]] / Table4[[#This Row],[total_followers]]</f>
        <v>0.20772058823529413</v>
      </c>
    </row>
    <row r="741" spans="1:20">
      <c r="A741">
        <v>741</v>
      </c>
      <c r="B741" t="s">
        <v>975</v>
      </c>
      <c r="C741" t="s">
        <v>63</v>
      </c>
      <c r="D741" t="s">
        <v>39</v>
      </c>
      <c r="E741" t="s">
        <v>595</v>
      </c>
      <c r="G741" s="3">
        <v>5.4</v>
      </c>
      <c r="H741">
        <v>10</v>
      </c>
      <c r="I741">
        <v>0</v>
      </c>
      <c r="J741">
        <v>1</v>
      </c>
      <c r="K741">
        <v>50</v>
      </c>
      <c r="L741" s="2">
        <v>1</v>
      </c>
      <c r="M741" s="2">
        <v>0</v>
      </c>
      <c r="N741">
        <v>1</v>
      </c>
      <c r="O741">
        <v>0.2</v>
      </c>
      <c r="P741" t="s">
        <v>17</v>
      </c>
      <c r="Q741" t="s">
        <v>17</v>
      </c>
      <c r="R741" s="2">
        <f>Table4[[#This Row],[total_followers]]/(Table4[[#This Row],[total_time_streamed]] / 60)</f>
        <v>1.2</v>
      </c>
      <c r="S741" t="str">
        <f>IF(Table4[[#This Row],[avg_games_per_stream]] &gt; 2, "Variety", "Focused")</f>
        <v>Focused</v>
      </c>
      <c r="T741" s="4">
        <f>Table4[[#This Row],[avg_viewers_per_stream]] / Table4[[#This Row],[total_followers]]</f>
        <v>0</v>
      </c>
    </row>
    <row r="742" spans="1:20">
      <c r="A742">
        <v>742</v>
      </c>
      <c r="B742" t="s">
        <v>976</v>
      </c>
      <c r="C742" t="s">
        <v>7</v>
      </c>
      <c r="D742" t="s">
        <v>39</v>
      </c>
      <c r="E742" t="s">
        <v>46</v>
      </c>
      <c r="F742" t="s">
        <v>40</v>
      </c>
      <c r="G742" s="3">
        <v>3.3</v>
      </c>
      <c r="H742">
        <v>1400</v>
      </c>
      <c r="I742">
        <v>4255</v>
      </c>
      <c r="J742">
        <v>1</v>
      </c>
      <c r="K742">
        <v>113</v>
      </c>
      <c r="L742" s="2">
        <v>52400</v>
      </c>
      <c r="M742" s="2">
        <v>1590000</v>
      </c>
      <c r="N742">
        <v>14</v>
      </c>
      <c r="O742">
        <v>1.2</v>
      </c>
      <c r="P742" t="s">
        <v>14</v>
      </c>
      <c r="Q742" t="s">
        <v>14</v>
      </c>
      <c r="R742" s="2">
        <f>Table4[[#This Row],[total_followers]]/(Table4[[#This Row],[total_time_streamed]] / 60)</f>
        <v>27823.008849557522</v>
      </c>
      <c r="S742" t="str">
        <f>IF(Table4[[#This Row],[avg_games_per_stream]] &gt; 2, "Variety", "Focused")</f>
        <v>Focused</v>
      </c>
      <c r="T742" s="4">
        <f>Table4[[#This Row],[avg_viewers_per_stream]] / Table4[[#This Row],[total_followers]]</f>
        <v>8.1202290076335878E-2</v>
      </c>
    </row>
    <row r="743" spans="1:20">
      <c r="A743">
        <v>743</v>
      </c>
      <c r="B743" t="s">
        <v>977</v>
      </c>
      <c r="C743" t="s">
        <v>3</v>
      </c>
      <c r="D743" t="s">
        <v>39</v>
      </c>
      <c r="E743" t="s">
        <v>858</v>
      </c>
      <c r="F743" t="s">
        <v>859</v>
      </c>
      <c r="G743" s="3">
        <v>7.3</v>
      </c>
      <c r="H743">
        <v>1240</v>
      </c>
      <c r="I743">
        <v>4584</v>
      </c>
      <c r="J743">
        <v>1.1000000000000001</v>
      </c>
      <c r="K743">
        <v>14096</v>
      </c>
      <c r="L743" s="2">
        <v>244000</v>
      </c>
      <c r="M743" s="2">
        <v>9030000</v>
      </c>
      <c r="N743">
        <v>53</v>
      </c>
      <c r="O743">
        <v>5.6</v>
      </c>
      <c r="P743" t="s">
        <v>20</v>
      </c>
      <c r="Q743" t="s">
        <v>18</v>
      </c>
      <c r="R743" s="2">
        <f>Table4[[#This Row],[total_followers]]/(Table4[[#This Row],[total_time_streamed]] / 60)</f>
        <v>1038.5925085130534</v>
      </c>
      <c r="S743" t="str">
        <f>IF(Table4[[#This Row],[avg_games_per_stream]] &gt; 2, "Variety", "Focused")</f>
        <v>Focused</v>
      </c>
      <c r="T743" s="4">
        <f>Table4[[#This Row],[avg_viewers_per_stream]] / Table4[[#This Row],[total_followers]]</f>
        <v>1.8786885245901639E-2</v>
      </c>
    </row>
    <row r="744" spans="1:20">
      <c r="A744">
        <v>744</v>
      </c>
      <c r="B744" t="s">
        <v>978</v>
      </c>
      <c r="C744" t="s">
        <v>7</v>
      </c>
      <c r="D744" t="s">
        <v>39</v>
      </c>
      <c r="E744" t="s">
        <v>40</v>
      </c>
      <c r="F744" t="s">
        <v>51</v>
      </c>
      <c r="G744" s="3">
        <v>6.4</v>
      </c>
      <c r="H744">
        <v>3930</v>
      </c>
      <c r="I744">
        <v>20131</v>
      </c>
      <c r="J744">
        <v>2</v>
      </c>
      <c r="K744">
        <v>1265</v>
      </c>
      <c r="L744" s="2">
        <v>1150000</v>
      </c>
      <c r="M744" s="2">
        <v>61500000</v>
      </c>
      <c r="N744">
        <v>551</v>
      </c>
      <c r="O744">
        <v>5</v>
      </c>
      <c r="P744" t="s">
        <v>19</v>
      </c>
      <c r="Q744" t="s">
        <v>18</v>
      </c>
      <c r="R744" s="2">
        <f>Table4[[#This Row],[total_followers]]/(Table4[[#This Row],[total_time_streamed]] / 60)</f>
        <v>54545.454545454551</v>
      </c>
      <c r="S744" t="str">
        <f>IF(Table4[[#This Row],[avg_games_per_stream]] &gt; 2, "Variety", "Focused")</f>
        <v>Focused</v>
      </c>
      <c r="T744" s="4">
        <f>Table4[[#This Row],[avg_viewers_per_stream]] / Table4[[#This Row],[total_followers]]</f>
        <v>1.7505217391304347E-2</v>
      </c>
    </row>
    <row r="745" spans="1:20">
      <c r="A745">
        <v>745</v>
      </c>
      <c r="B745" t="s">
        <v>979</v>
      </c>
      <c r="C745" t="s">
        <v>6</v>
      </c>
      <c r="D745" t="s">
        <v>39</v>
      </c>
      <c r="E745" t="s">
        <v>40</v>
      </c>
      <c r="F745" t="s">
        <v>46</v>
      </c>
      <c r="G745" s="3">
        <v>2.9</v>
      </c>
      <c r="H745">
        <v>56</v>
      </c>
      <c r="I745">
        <v>17285</v>
      </c>
      <c r="J745">
        <v>1.3</v>
      </c>
      <c r="K745">
        <v>1031</v>
      </c>
      <c r="L745" s="2">
        <v>1530000</v>
      </c>
      <c r="M745" s="2">
        <v>4720000</v>
      </c>
      <c r="N745">
        <v>50</v>
      </c>
      <c r="O745">
        <v>1.1000000000000001</v>
      </c>
      <c r="P745" t="s">
        <v>20</v>
      </c>
      <c r="Q745" t="s">
        <v>16</v>
      </c>
      <c r="R745" s="2">
        <f>Table4[[#This Row],[total_followers]]/(Table4[[#This Row],[total_time_streamed]] / 60)</f>
        <v>89039.767216294858</v>
      </c>
      <c r="S745" t="str">
        <f>IF(Table4[[#This Row],[avg_games_per_stream]] &gt; 2, "Variety", "Focused")</f>
        <v>Focused</v>
      </c>
      <c r="T745" s="4">
        <f>Table4[[#This Row],[avg_viewers_per_stream]] / Table4[[#This Row],[total_followers]]</f>
        <v>1.1297385620915033E-2</v>
      </c>
    </row>
    <row r="746" spans="1:20">
      <c r="A746">
        <v>746</v>
      </c>
      <c r="B746" t="s">
        <v>980</v>
      </c>
      <c r="C746" t="s">
        <v>981</v>
      </c>
      <c r="D746" t="s">
        <v>39</v>
      </c>
      <c r="E746" t="s">
        <v>46</v>
      </c>
      <c r="F746" t="s">
        <v>40</v>
      </c>
      <c r="G746" s="3">
        <v>6.5</v>
      </c>
      <c r="H746">
        <v>3290</v>
      </c>
      <c r="I746">
        <v>1357</v>
      </c>
      <c r="J746">
        <v>1.8</v>
      </c>
      <c r="K746">
        <v>5958</v>
      </c>
      <c r="L746" s="2">
        <v>280000</v>
      </c>
      <c r="M746" s="2">
        <v>1160000</v>
      </c>
      <c r="N746">
        <v>28</v>
      </c>
      <c r="O746">
        <v>5.4</v>
      </c>
      <c r="P746" t="s">
        <v>17</v>
      </c>
      <c r="Q746" t="s">
        <v>14</v>
      </c>
      <c r="R746" s="2">
        <f>Table4[[#This Row],[total_followers]]/(Table4[[#This Row],[total_time_streamed]] / 60)</f>
        <v>2819.7381671701914</v>
      </c>
      <c r="S746" t="str">
        <f>IF(Table4[[#This Row],[avg_games_per_stream]] &gt; 2, "Variety", "Focused")</f>
        <v>Focused</v>
      </c>
      <c r="T746" s="4">
        <f>Table4[[#This Row],[avg_viewers_per_stream]] / Table4[[#This Row],[total_followers]]</f>
        <v>4.8464285714285718E-3</v>
      </c>
    </row>
    <row r="747" spans="1:20">
      <c r="A747">
        <v>747</v>
      </c>
      <c r="B747" t="s">
        <v>982</v>
      </c>
      <c r="C747" t="s">
        <v>63</v>
      </c>
      <c r="D747" t="s">
        <v>39</v>
      </c>
      <c r="E747" t="s">
        <v>64</v>
      </c>
      <c r="F747" t="s">
        <v>40</v>
      </c>
      <c r="G747" s="3">
        <v>5</v>
      </c>
      <c r="H747">
        <v>4718</v>
      </c>
      <c r="I747">
        <v>24485</v>
      </c>
      <c r="J747">
        <v>1.2</v>
      </c>
      <c r="K747">
        <v>800</v>
      </c>
      <c r="L747" s="2">
        <v>66900</v>
      </c>
      <c r="M747" s="2">
        <v>343000</v>
      </c>
      <c r="N747">
        <v>2</v>
      </c>
      <c r="O747">
        <v>0.1</v>
      </c>
      <c r="P747" t="s">
        <v>17</v>
      </c>
      <c r="Q747" t="s">
        <v>18</v>
      </c>
      <c r="R747" s="2">
        <f>Table4[[#This Row],[total_followers]]/(Table4[[#This Row],[total_time_streamed]] / 60)</f>
        <v>5017.5</v>
      </c>
      <c r="S747" t="str">
        <f>IF(Table4[[#This Row],[avg_games_per_stream]] &gt; 2, "Variety", "Focused")</f>
        <v>Focused</v>
      </c>
      <c r="T747" s="4">
        <f>Table4[[#This Row],[avg_viewers_per_stream]] / Table4[[#This Row],[total_followers]]</f>
        <v>0.36599402092675637</v>
      </c>
    </row>
    <row r="748" spans="1:20">
      <c r="A748">
        <v>748</v>
      </c>
      <c r="B748" t="s">
        <v>983</v>
      </c>
      <c r="C748" t="s">
        <v>3</v>
      </c>
      <c r="D748" t="s">
        <v>39</v>
      </c>
      <c r="E748" t="s">
        <v>109</v>
      </c>
      <c r="F748" t="s">
        <v>70</v>
      </c>
      <c r="G748" s="3">
        <v>9.4</v>
      </c>
      <c r="H748">
        <v>3580</v>
      </c>
      <c r="I748">
        <v>22934</v>
      </c>
      <c r="J748">
        <v>1.8</v>
      </c>
      <c r="K748">
        <v>25405</v>
      </c>
      <c r="L748" s="2">
        <v>1060000</v>
      </c>
      <c r="M748" s="2">
        <v>64099999</v>
      </c>
      <c r="N748">
        <v>544</v>
      </c>
      <c r="O748">
        <v>6.8</v>
      </c>
      <c r="P748" t="s">
        <v>20</v>
      </c>
      <c r="Q748" t="s">
        <v>14</v>
      </c>
      <c r="R748" s="2">
        <f>Table4[[#This Row],[total_followers]]/(Table4[[#This Row],[total_time_streamed]] / 60)</f>
        <v>2503.4442038968705</v>
      </c>
      <c r="S748" t="str">
        <f>IF(Table4[[#This Row],[avg_games_per_stream]] &gt; 2, "Variety", "Focused")</f>
        <v>Focused</v>
      </c>
      <c r="T748" s="4">
        <f>Table4[[#This Row],[avg_viewers_per_stream]] / Table4[[#This Row],[total_followers]]</f>
        <v>2.1635849056603772E-2</v>
      </c>
    </row>
    <row r="749" spans="1:20">
      <c r="A749">
        <v>749</v>
      </c>
      <c r="B749" t="s">
        <v>984</v>
      </c>
      <c r="C749" t="s">
        <v>4</v>
      </c>
      <c r="D749" t="s">
        <v>58</v>
      </c>
      <c r="E749" t="s">
        <v>145</v>
      </c>
      <c r="F749" t="s">
        <v>193</v>
      </c>
      <c r="G749" s="3">
        <v>3.6</v>
      </c>
      <c r="H749">
        <v>4720</v>
      </c>
      <c r="I749">
        <v>17395</v>
      </c>
      <c r="J749">
        <v>1.1000000000000001</v>
      </c>
      <c r="K749">
        <v>6730</v>
      </c>
      <c r="L749" s="2">
        <v>90900</v>
      </c>
      <c r="M749" s="2">
        <v>3310000</v>
      </c>
      <c r="N749">
        <v>10</v>
      </c>
      <c r="O749">
        <v>1.1000000000000001</v>
      </c>
      <c r="P749" t="s">
        <v>19</v>
      </c>
      <c r="Q749" t="s">
        <v>14</v>
      </c>
      <c r="R749" s="2">
        <f>Table4[[#This Row],[total_followers]]/(Table4[[#This Row],[total_time_streamed]] / 60)</f>
        <v>810.40118870728077</v>
      </c>
      <c r="S749" t="str">
        <f>IF(Table4[[#This Row],[avg_games_per_stream]] &gt; 2, "Variety", "Focused")</f>
        <v>Focused</v>
      </c>
      <c r="T749" s="4">
        <f>Table4[[#This Row],[avg_viewers_per_stream]] / Table4[[#This Row],[total_followers]]</f>
        <v>0.19136413641364136</v>
      </c>
    </row>
    <row r="750" spans="1:20">
      <c r="A750">
        <v>750</v>
      </c>
      <c r="B750" t="s">
        <v>985</v>
      </c>
      <c r="C750" t="s">
        <v>4</v>
      </c>
      <c r="D750" t="s">
        <v>39</v>
      </c>
      <c r="E750" t="s">
        <v>255</v>
      </c>
      <c r="F750" t="s">
        <v>40</v>
      </c>
      <c r="G750" s="3">
        <v>5.7</v>
      </c>
      <c r="H750">
        <v>1130</v>
      </c>
      <c r="I750">
        <v>4261</v>
      </c>
      <c r="J750">
        <v>1.8</v>
      </c>
      <c r="K750">
        <v>11967</v>
      </c>
      <c r="L750" s="2">
        <v>278000</v>
      </c>
      <c r="M750" s="2">
        <v>10400000</v>
      </c>
      <c r="N750">
        <v>1066</v>
      </c>
      <c r="O750">
        <v>5.9</v>
      </c>
      <c r="P750" t="s">
        <v>14</v>
      </c>
      <c r="Q750" t="s">
        <v>15</v>
      </c>
      <c r="R750" s="2">
        <f>Table4[[#This Row],[total_followers]]/(Table4[[#This Row],[total_time_streamed]] / 60)</f>
        <v>1393.8330408623715</v>
      </c>
      <c r="S750" t="str">
        <f>IF(Table4[[#This Row],[avg_games_per_stream]] &gt; 2, "Variety", "Focused")</f>
        <v>Focused</v>
      </c>
      <c r="T750" s="4">
        <f>Table4[[#This Row],[avg_viewers_per_stream]] / Table4[[#This Row],[total_followers]]</f>
        <v>1.5327338129496403E-2</v>
      </c>
    </row>
    <row r="751" spans="1:20">
      <c r="A751">
        <v>751</v>
      </c>
      <c r="B751" t="s">
        <v>986</v>
      </c>
      <c r="C751" t="s">
        <v>3</v>
      </c>
      <c r="D751" t="s">
        <v>39</v>
      </c>
      <c r="E751" t="s">
        <v>226</v>
      </c>
      <c r="F751" t="s">
        <v>582</v>
      </c>
      <c r="G751" s="3">
        <v>7.8</v>
      </c>
      <c r="H751">
        <v>2930</v>
      </c>
      <c r="I751">
        <v>42585</v>
      </c>
      <c r="J751">
        <v>1.3</v>
      </c>
      <c r="K751">
        <v>9439</v>
      </c>
      <c r="L751" s="2">
        <v>322000</v>
      </c>
      <c r="M751" s="2">
        <v>46700000</v>
      </c>
      <c r="N751">
        <v>52</v>
      </c>
      <c r="O751">
        <v>3</v>
      </c>
      <c r="P751" t="s">
        <v>14</v>
      </c>
      <c r="Q751" t="s">
        <v>14</v>
      </c>
      <c r="R751" s="2">
        <f>Table4[[#This Row],[total_followers]]/(Table4[[#This Row],[total_time_streamed]] / 60)</f>
        <v>2046.8269943849984</v>
      </c>
      <c r="S751" t="str">
        <f>IF(Table4[[#This Row],[avg_games_per_stream]] &gt; 2, "Variety", "Focused")</f>
        <v>Focused</v>
      </c>
      <c r="T751" s="4">
        <f>Table4[[#This Row],[avg_viewers_per_stream]] / Table4[[#This Row],[total_followers]]</f>
        <v>0.13225155279503106</v>
      </c>
    </row>
    <row r="752" spans="1:20">
      <c r="A752">
        <v>752</v>
      </c>
      <c r="B752" t="s">
        <v>987</v>
      </c>
      <c r="C752" t="s">
        <v>6</v>
      </c>
      <c r="D752" t="s">
        <v>39</v>
      </c>
      <c r="E752" t="s">
        <v>98</v>
      </c>
      <c r="F752" t="s">
        <v>85</v>
      </c>
      <c r="G752" s="3">
        <v>13</v>
      </c>
      <c r="H752">
        <v>90</v>
      </c>
      <c r="I752">
        <v>0</v>
      </c>
      <c r="J752">
        <v>1.5</v>
      </c>
      <c r="K752">
        <v>260</v>
      </c>
      <c r="L752" s="2">
        <v>1300</v>
      </c>
      <c r="M752" s="2">
        <v>0</v>
      </c>
      <c r="N752">
        <v>2</v>
      </c>
      <c r="O752">
        <v>0.7</v>
      </c>
      <c r="P752" t="s">
        <v>16</v>
      </c>
      <c r="Q752" t="s">
        <v>17</v>
      </c>
      <c r="R752" s="2">
        <f>Table4[[#This Row],[total_followers]]/(Table4[[#This Row],[total_time_streamed]] / 60)</f>
        <v>300</v>
      </c>
      <c r="S752" t="str">
        <f>IF(Table4[[#This Row],[avg_games_per_stream]] &gt; 2, "Variety", "Focused")</f>
        <v>Focused</v>
      </c>
      <c r="T752" s="4">
        <f>Table4[[#This Row],[avg_viewers_per_stream]] / Table4[[#This Row],[total_followers]]</f>
        <v>0</v>
      </c>
    </row>
    <row r="753" spans="1:20">
      <c r="A753">
        <v>753</v>
      </c>
      <c r="B753" t="s">
        <v>988</v>
      </c>
      <c r="C753" t="s">
        <v>4</v>
      </c>
      <c r="D753" t="s">
        <v>39</v>
      </c>
      <c r="E753" t="s">
        <v>40</v>
      </c>
      <c r="F753" t="s">
        <v>240</v>
      </c>
      <c r="G753" s="3">
        <v>4.0999999999999996</v>
      </c>
      <c r="H753">
        <v>740</v>
      </c>
      <c r="I753">
        <v>2965</v>
      </c>
      <c r="J753">
        <v>1</v>
      </c>
      <c r="K753">
        <v>3579</v>
      </c>
      <c r="L753" s="2">
        <v>63000</v>
      </c>
      <c r="M753" s="2">
        <v>2530000</v>
      </c>
      <c r="N753">
        <v>30</v>
      </c>
      <c r="O753">
        <v>2.6</v>
      </c>
      <c r="P753" t="s">
        <v>14</v>
      </c>
      <c r="Q753" t="s">
        <v>15</v>
      </c>
      <c r="R753" s="2">
        <f>Table4[[#This Row],[total_followers]]/(Table4[[#This Row],[total_time_streamed]] / 60)</f>
        <v>1056.1609388097233</v>
      </c>
      <c r="S753" t="str">
        <f>IF(Table4[[#This Row],[avg_games_per_stream]] &gt; 2, "Variety", "Focused")</f>
        <v>Focused</v>
      </c>
      <c r="T753" s="4">
        <f>Table4[[#This Row],[avg_viewers_per_stream]] / Table4[[#This Row],[total_followers]]</f>
        <v>4.7063492063492064E-2</v>
      </c>
    </row>
    <row r="754" spans="1:20">
      <c r="A754">
        <v>754</v>
      </c>
      <c r="B754" t="s">
        <v>989</v>
      </c>
      <c r="C754" t="s">
        <v>7</v>
      </c>
      <c r="D754" t="s">
        <v>39</v>
      </c>
      <c r="E754" t="s">
        <v>74</v>
      </c>
      <c r="F754" t="s">
        <v>40</v>
      </c>
      <c r="G754" s="3">
        <v>2.6</v>
      </c>
      <c r="H754">
        <v>3660</v>
      </c>
      <c r="I754">
        <v>3348</v>
      </c>
      <c r="J754">
        <v>1.1000000000000001</v>
      </c>
      <c r="K754">
        <v>2003</v>
      </c>
      <c r="L754" s="2">
        <v>269000</v>
      </c>
      <c r="M754" s="2">
        <v>2460000</v>
      </c>
      <c r="N754">
        <v>13</v>
      </c>
      <c r="O754">
        <v>2.5</v>
      </c>
      <c r="P754" t="s">
        <v>14</v>
      </c>
      <c r="Q754" t="s">
        <v>15</v>
      </c>
      <c r="R754" s="2">
        <f>Table4[[#This Row],[total_followers]]/(Table4[[#This Row],[total_time_streamed]] / 60)</f>
        <v>8057.9131303045433</v>
      </c>
      <c r="S754" t="str">
        <f>IF(Table4[[#This Row],[avg_games_per_stream]] &gt; 2, "Variety", "Focused")</f>
        <v>Focused</v>
      </c>
      <c r="T754" s="4">
        <f>Table4[[#This Row],[avg_viewers_per_stream]] / Table4[[#This Row],[total_followers]]</f>
        <v>1.2446096654275093E-2</v>
      </c>
    </row>
    <row r="755" spans="1:20">
      <c r="A755">
        <v>755</v>
      </c>
      <c r="B755" t="s">
        <v>990</v>
      </c>
      <c r="C755" t="s">
        <v>5</v>
      </c>
      <c r="D755" t="s">
        <v>39</v>
      </c>
      <c r="E755" t="s">
        <v>518</v>
      </c>
      <c r="F755" t="s">
        <v>991</v>
      </c>
      <c r="G755" s="3">
        <v>10.199999999999999</v>
      </c>
      <c r="H755">
        <v>3727</v>
      </c>
      <c r="I755">
        <v>2718</v>
      </c>
      <c r="J755">
        <v>3</v>
      </c>
      <c r="K755">
        <v>710</v>
      </c>
      <c r="L755" s="2">
        <v>27500</v>
      </c>
      <c r="M755" s="2">
        <v>215000</v>
      </c>
      <c r="N755">
        <v>13</v>
      </c>
      <c r="O755">
        <v>0</v>
      </c>
      <c r="P755" t="s">
        <v>15</v>
      </c>
      <c r="Q755" t="s">
        <v>15</v>
      </c>
      <c r="R755" s="2">
        <f>Table4[[#This Row],[total_followers]]/(Table4[[#This Row],[total_time_streamed]] / 60)</f>
        <v>2323.9436619718308</v>
      </c>
      <c r="S755" t="str">
        <f>IF(Table4[[#This Row],[avg_games_per_stream]] &gt; 2, "Variety", "Focused")</f>
        <v>Variety</v>
      </c>
      <c r="T755" s="4">
        <f>Table4[[#This Row],[avg_viewers_per_stream]] / Table4[[#This Row],[total_followers]]</f>
        <v>9.8836363636363639E-2</v>
      </c>
    </row>
    <row r="756" spans="1:20">
      <c r="A756">
        <v>756</v>
      </c>
      <c r="B756" t="s">
        <v>992</v>
      </c>
      <c r="C756" t="s">
        <v>993</v>
      </c>
      <c r="D756" t="s">
        <v>39</v>
      </c>
      <c r="E756" t="s">
        <v>40</v>
      </c>
      <c r="F756" t="s">
        <v>277</v>
      </c>
      <c r="G756" s="3">
        <v>4.5</v>
      </c>
      <c r="H756">
        <v>3000</v>
      </c>
      <c r="I756">
        <v>4293</v>
      </c>
      <c r="J756">
        <v>1.1000000000000001</v>
      </c>
      <c r="K756">
        <v>2306</v>
      </c>
      <c r="L756" s="2">
        <v>141000</v>
      </c>
      <c r="M756" s="2">
        <v>2009999</v>
      </c>
      <c r="N756">
        <v>22</v>
      </c>
      <c r="O756">
        <v>2.8</v>
      </c>
      <c r="P756" t="s">
        <v>17</v>
      </c>
      <c r="Q756" t="s">
        <v>20</v>
      </c>
      <c r="R756" s="2">
        <f>Table4[[#This Row],[total_followers]]/(Table4[[#This Row],[total_time_streamed]] / 60)</f>
        <v>3668.6903729401565</v>
      </c>
      <c r="S756" t="str">
        <f>IF(Table4[[#This Row],[avg_games_per_stream]] &gt; 2, "Variety", "Focused")</f>
        <v>Focused</v>
      </c>
      <c r="T756" s="4">
        <f>Table4[[#This Row],[avg_viewers_per_stream]] / Table4[[#This Row],[total_followers]]</f>
        <v>3.0446808510638298E-2</v>
      </c>
    </row>
    <row r="757" spans="1:20">
      <c r="A757">
        <v>757</v>
      </c>
      <c r="B757" t="s">
        <v>994</v>
      </c>
      <c r="C757" t="s">
        <v>6</v>
      </c>
      <c r="D757" t="s">
        <v>58</v>
      </c>
      <c r="E757" t="s">
        <v>43</v>
      </c>
      <c r="F757" t="s">
        <v>12</v>
      </c>
      <c r="G757" s="3">
        <v>4.9000000000000004</v>
      </c>
      <c r="H757">
        <v>5570</v>
      </c>
      <c r="I757">
        <v>43627</v>
      </c>
      <c r="J757">
        <v>1</v>
      </c>
      <c r="K757">
        <v>5813</v>
      </c>
      <c r="L757" s="2">
        <v>619000</v>
      </c>
      <c r="M757" s="2">
        <v>48400000</v>
      </c>
      <c r="N757">
        <v>3</v>
      </c>
      <c r="O757">
        <v>3.1</v>
      </c>
      <c r="P757" t="s">
        <v>16</v>
      </c>
      <c r="Q757" t="s">
        <v>14</v>
      </c>
      <c r="R757" s="2">
        <f>Table4[[#This Row],[total_followers]]/(Table4[[#This Row],[total_time_streamed]] / 60)</f>
        <v>6389.1278169619809</v>
      </c>
      <c r="S757" t="str">
        <f>IF(Table4[[#This Row],[avg_games_per_stream]] &gt; 2, "Variety", "Focused")</f>
        <v>Focused</v>
      </c>
      <c r="T757" s="4">
        <f>Table4[[#This Row],[avg_viewers_per_stream]] / Table4[[#This Row],[total_followers]]</f>
        <v>7.0479806138933759E-2</v>
      </c>
    </row>
    <row r="758" spans="1:20">
      <c r="A758">
        <v>758</v>
      </c>
      <c r="B758" t="s">
        <v>995</v>
      </c>
      <c r="C758" t="s">
        <v>3</v>
      </c>
      <c r="D758" t="s">
        <v>39</v>
      </c>
      <c r="E758" t="s">
        <v>66</v>
      </c>
      <c r="F758" t="s">
        <v>40</v>
      </c>
      <c r="G758" s="3">
        <v>6.9</v>
      </c>
      <c r="H758">
        <v>1780</v>
      </c>
      <c r="I758">
        <v>495</v>
      </c>
      <c r="J758">
        <v>1.4</v>
      </c>
      <c r="K758">
        <v>1304</v>
      </c>
      <c r="L758" s="2">
        <v>337000</v>
      </c>
      <c r="M758" s="2">
        <v>9350000</v>
      </c>
      <c r="N758">
        <v>146</v>
      </c>
      <c r="O758">
        <v>4.9000000000000004</v>
      </c>
      <c r="P758" t="s">
        <v>17</v>
      </c>
      <c r="Q758" t="s">
        <v>16</v>
      </c>
      <c r="R758" s="2">
        <f>Table4[[#This Row],[total_followers]]/(Table4[[#This Row],[total_time_streamed]] / 60)</f>
        <v>15506.134969325152</v>
      </c>
      <c r="S758" t="str">
        <f>IF(Table4[[#This Row],[avg_games_per_stream]] &gt; 2, "Variety", "Focused")</f>
        <v>Focused</v>
      </c>
      <c r="T758" s="4">
        <f>Table4[[#This Row],[avg_viewers_per_stream]] / Table4[[#This Row],[total_followers]]</f>
        <v>1.4688427299703263E-3</v>
      </c>
    </row>
    <row r="759" spans="1:20">
      <c r="A759">
        <v>759</v>
      </c>
      <c r="B759" t="s">
        <v>996</v>
      </c>
      <c r="C759" t="s">
        <v>3</v>
      </c>
      <c r="D759" t="s">
        <v>39</v>
      </c>
      <c r="E759" t="s">
        <v>123</v>
      </c>
      <c r="F759" t="s">
        <v>40</v>
      </c>
      <c r="G759" s="3">
        <v>6.1</v>
      </c>
      <c r="H759">
        <v>1290</v>
      </c>
      <c r="I759">
        <v>2177</v>
      </c>
      <c r="J759">
        <v>1.1000000000000001</v>
      </c>
      <c r="K759">
        <v>6866</v>
      </c>
      <c r="L759" s="2">
        <v>137000</v>
      </c>
      <c r="M759" s="2">
        <v>2310000</v>
      </c>
      <c r="N759">
        <v>45</v>
      </c>
      <c r="O759">
        <v>4.3</v>
      </c>
      <c r="P759" t="s">
        <v>20</v>
      </c>
      <c r="Q759" t="s">
        <v>15</v>
      </c>
      <c r="R759" s="2">
        <f>Table4[[#This Row],[total_followers]]/(Table4[[#This Row],[total_time_streamed]] / 60)</f>
        <v>1197.2036120011651</v>
      </c>
      <c r="S759" t="str">
        <f>IF(Table4[[#This Row],[avg_games_per_stream]] &gt; 2, "Variety", "Focused")</f>
        <v>Focused</v>
      </c>
      <c r="T759" s="4">
        <f>Table4[[#This Row],[avg_viewers_per_stream]] / Table4[[#This Row],[total_followers]]</f>
        <v>1.5890510948905111E-2</v>
      </c>
    </row>
    <row r="760" spans="1:20">
      <c r="A760">
        <v>760</v>
      </c>
      <c r="B760" t="s">
        <v>997</v>
      </c>
      <c r="C760" t="s">
        <v>3</v>
      </c>
      <c r="D760" t="s">
        <v>39</v>
      </c>
      <c r="E760" t="s">
        <v>40</v>
      </c>
      <c r="F760" t="s">
        <v>79</v>
      </c>
      <c r="G760" s="3">
        <v>2.6</v>
      </c>
      <c r="H760">
        <v>8600</v>
      </c>
      <c r="I760">
        <v>3362</v>
      </c>
      <c r="J760">
        <v>1.1000000000000001</v>
      </c>
      <c r="K760">
        <v>112</v>
      </c>
      <c r="L760" s="2">
        <v>331000</v>
      </c>
      <c r="M760" s="2">
        <v>1530000</v>
      </c>
      <c r="N760">
        <v>40</v>
      </c>
      <c r="O760">
        <v>1.1000000000000001</v>
      </c>
      <c r="P760" t="s">
        <v>17</v>
      </c>
      <c r="Q760" t="s">
        <v>17</v>
      </c>
      <c r="R760" s="2">
        <f>Table4[[#This Row],[total_followers]]/(Table4[[#This Row],[total_time_streamed]] / 60)</f>
        <v>177321.42857142858</v>
      </c>
      <c r="S760" t="str">
        <f>IF(Table4[[#This Row],[avg_games_per_stream]] &gt; 2, "Variety", "Focused")</f>
        <v>Focused</v>
      </c>
      <c r="T760" s="4">
        <f>Table4[[#This Row],[avg_viewers_per_stream]] / Table4[[#This Row],[total_followers]]</f>
        <v>1.0157099697885197E-2</v>
      </c>
    </row>
    <row r="761" spans="1:20">
      <c r="A761">
        <v>761</v>
      </c>
      <c r="B761" t="s">
        <v>998</v>
      </c>
      <c r="C761" t="s">
        <v>2</v>
      </c>
      <c r="D761" t="s">
        <v>39</v>
      </c>
      <c r="E761" t="s">
        <v>40</v>
      </c>
      <c r="F761" t="s">
        <v>220</v>
      </c>
      <c r="G761" s="3">
        <v>4.8</v>
      </c>
      <c r="H761">
        <v>770</v>
      </c>
      <c r="I761">
        <v>1127</v>
      </c>
      <c r="J761">
        <v>1</v>
      </c>
      <c r="K761">
        <v>2224</v>
      </c>
      <c r="L761" s="2">
        <v>47300</v>
      </c>
      <c r="M761" s="2">
        <v>690000</v>
      </c>
      <c r="N761">
        <v>10</v>
      </c>
      <c r="O761">
        <v>3.1</v>
      </c>
      <c r="P761" t="s">
        <v>19</v>
      </c>
      <c r="Q761" t="s">
        <v>14</v>
      </c>
      <c r="R761" s="2">
        <f>Table4[[#This Row],[total_followers]]/(Table4[[#This Row],[total_time_streamed]] / 60)</f>
        <v>1276.0791366906474</v>
      </c>
      <c r="S761" t="str">
        <f>IF(Table4[[#This Row],[avg_games_per_stream]] &gt; 2, "Variety", "Focused")</f>
        <v>Focused</v>
      </c>
      <c r="T761" s="4">
        <f>Table4[[#This Row],[avg_viewers_per_stream]] / Table4[[#This Row],[total_followers]]</f>
        <v>2.3826638477801268E-2</v>
      </c>
    </row>
    <row r="762" spans="1:20">
      <c r="A762">
        <v>762</v>
      </c>
      <c r="B762" t="s">
        <v>999</v>
      </c>
      <c r="C762" t="s">
        <v>61</v>
      </c>
      <c r="D762" t="s">
        <v>39</v>
      </c>
      <c r="E762" t="s">
        <v>896</v>
      </c>
      <c r="F762" t="s">
        <v>53</v>
      </c>
      <c r="G762" s="3">
        <v>5.0999999999999996</v>
      </c>
      <c r="H762">
        <v>340</v>
      </c>
      <c r="I762">
        <v>5800</v>
      </c>
      <c r="J762">
        <v>1</v>
      </c>
      <c r="K762">
        <v>5429</v>
      </c>
      <c r="L762" s="2">
        <v>35500</v>
      </c>
      <c r="M762" s="2">
        <v>615000</v>
      </c>
      <c r="N762">
        <v>31</v>
      </c>
      <c r="O762">
        <v>3.3</v>
      </c>
      <c r="P762" t="s">
        <v>18</v>
      </c>
      <c r="Q762" t="s">
        <v>16</v>
      </c>
      <c r="R762" s="2">
        <f>Table4[[#This Row],[total_followers]]/(Table4[[#This Row],[total_time_streamed]] / 60)</f>
        <v>392.33744704365444</v>
      </c>
      <c r="S762" t="str">
        <f>IF(Table4[[#This Row],[avg_games_per_stream]] &gt; 2, "Variety", "Focused")</f>
        <v>Focused</v>
      </c>
      <c r="T762" s="4">
        <f>Table4[[#This Row],[avg_viewers_per_stream]] / Table4[[#This Row],[total_followers]]</f>
        <v>0.16338028169014085</v>
      </c>
    </row>
    <row r="763" spans="1:20">
      <c r="A763">
        <v>763</v>
      </c>
      <c r="B763" t="s">
        <v>1000</v>
      </c>
      <c r="C763" t="s">
        <v>61</v>
      </c>
      <c r="D763" t="s">
        <v>39</v>
      </c>
      <c r="E763" t="s">
        <v>40</v>
      </c>
      <c r="F763" t="s">
        <v>12</v>
      </c>
      <c r="G763" s="3">
        <v>7.6</v>
      </c>
      <c r="H763">
        <v>1340</v>
      </c>
      <c r="I763">
        <v>16322</v>
      </c>
      <c r="J763">
        <v>3.2</v>
      </c>
      <c r="K763">
        <v>12747</v>
      </c>
      <c r="L763" s="2">
        <v>279000</v>
      </c>
      <c r="M763" s="2">
        <v>32400000</v>
      </c>
      <c r="N763">
        <v>354</v>
      </c>
      <c r="O763">
        <v>4.3</v>
      </c>
      <c r="P763" t="s">
        <v>15</v>
      </c>
      <c r="Q763" t="s">
        <v>17</v>
      </c>
      <c r="R763" s="2">
        <f>Table4[[#This Row],[total_followers]]/(Table4[[#This Row],[total_time_streamed]] / 60)</f>
        <v>1313.2501765121206</v>
      </c>
      <c r="S763" t="str">
        <f>IF(Table4[[#This Row],[avg_games_per_stream]] &gt; 2, "Variety", "Focused")</f>
        <v>Variety</v>
      </c>
      <c r="T763" s="4">
        <f>Table4[[#This Row],[avg_viewers_per_stream]] / Table4[[#This Row],[total_followers]]</f>
        <v>5.850179211469534E-2</v>
      </c>
    </row>
    <row r="764" spans="1:20">
      <c r="A764">
        <v>764</v>
      </c>
      <c r="B764" t="s">
        <v>1001</v>
      </c>
      <c r="C764" t="s">
        <v>61</v>
      </c>
      <c r="D764" t="s">
        <v>39</v>
      </c>
      <c r="E764" t="s">
        <v>40</v>
      </c>
      <c r="F764" t="s">
        <v>74</v>
      </c>
      <c r="G764" s="3">
        <v>4.5</v>
      </c>
      <c r="H764">
        <v>1396</v>
      </c>
      <c r="I764">
        <v>16406</v>
      </c>
      <c r="J764">
        <v>1.3</v>
      </c>
      <c r="K764">
        <v>2736</v>
      </c>
      <c r="L764" s="2">
        <v>772000</v>
      </c>
      <c r="M764" s="2">
        <v>8990000</v>
      </c>
      <c r="N764">
        <v>49</v>
      </c>
      <c r="O764">
        <v>1.9</v>
      </c>
      <c r="P764" t="s">
        <v>19</v>
      </c>
      <c r="Q764" t="s">
        <v>15</v>
      </c>
      <c r="R764" s="2">
        <f>Table4[[#This Row],[total_followers]]/(Table4[[#This Row],[total_time_streamed]] / 60)</f>
        <v>16929.824561403508</v>
      </c>
      <c r="S764" t="str">
        <f>IF(Table4[[#This Row],[avg_games_per_stream]] &gt; 2, "Variety", "Focused")</f>
        <v>Focused</v>
      </c>
      <c r="T764" s="4">
        <f>Table4[[#This Row],[avg_viewers_per_stream]] / Table4[[#This Row],[total_followers]]</f>
        <v>2.1251295336787566E-2</v>
      </c>
    </row>
    <row r="765" spans="1:20">
      <c r="A765">
        <v>765</v>
      </c>
      <c r="B765" t="s">
        <v>1002</v>
      </c>
      <c r="C765" t="s">
        <v>2</v>
      </c>
      <c r="D765" t="s">
        <v>39</v>
      </c>
      <c r="E765" t="s">
        <v>46</v>
      </c>
      <c r="F765" t="s">
        <v>40</v>
      </c>
      <c r="G765" s="3">
        <v>4.8</v>
      </c>
      <c r="H765">
        <v>3330</v>
      </c>
      <c r="I765">
        <v>43121</v>
      </c>
      <c r="J765">
        <v>1.2</v>
      </c>
      <c r="K765">
        <v>2708</v>
      </c>
      <c r="L765" s="2">
        <v>192000</v>
      </c>
      <c r="M765" s="2">
        <v>24800000</v>
      </c>
      <c r="N765">
        <v>42</v>
      </c>
      <c r="O765">
        <v>1.5</v>
      </c>
      <c r="P765" t="s">
        <v>16</v>
      </c>
      <c r="Q765" t="s">
        <v>14</v>
      </c>
      <c r="R765" s="2">
        <f>Table4[[#This Row],[total_followers]]/(Table4[[#This Row],[total_time_streamed]] / 60)</f>
        <v>4254.062038404727</v>
      </c>
      <c r="S765" t="str">
        <f>IF(Table4[[#This Row],[avg_games_per_stream]] &gt; 2, "Variety", "Focused")</f>
        <v>Focused</v>
      </c>
      <c r="T765" s="4">
        <f>Table4[[#This Row],[avg_viewers_per_stream]] / Table4[[#This Row],[total_followers]]</f>
        <v>0.22458854166666667</v>
      </c>
    </row>
    <row r="766" spans="1:20">
      <c r="A766">
        <v>766</v>
      </c>
      <c r="B766" t="s">
        <v>1003</v>
      </c>
      <c r="C766" t="s">
        <v>6</v>
      </c>
      <c r="D766" t="s">
        <v>39</v>
      </c>
      <c r="E766" t="s">
        <v>66</v>
      </c>
      <c r="F766" t="s">
        <v>88</v>
      </c>
      <c r="G766" s="3">
        <v>5.6</v>
      </c>
      <c r="H766">
        <v>2610</v>
      </c>
      <c r="I766">
        <v>10482</v>
      </c>
      <c r="J766">
        <v>2.9</v>
      </c>
      <c r="K766">
        <v>6763</v>
      </c>
      <c r="L766" s="2">
        <v>272000</v>
      </c>
      <c r="M766" s="2">
        <v>10900000</v>
      </c>
      <c r="N766">
        <v>157</v>
      </c>
      <c r="O766">
        <v>3.4</v>
      </c>
      <c r="P766" t="s">
        <v>20</v>
      </c>
      <c r="Q766" t="s">
        <v>14</v>
      </c>
      <c r="R766" s="2">
        <f>Table4[[#This Row],[total_followers]]/(Table4[[#This Row],[total_time_streamed]] / 60)</f>
        <v>2413.1302676327073</v>
      </c>
      <c r="S766" t="str">
        <f>IF(Table4[[#This Row],[avg_games_per_stream]] &gt; 2, "Variety", "Focused")</f>
        <v>Variety</v>
      </c>
      <c r="T766" s="4">
        <f>Table4[[#This Row],[avg_viewers_per_stream]] / Table4[[#This Row],[total_followers]]</f>
        <v>3.8536764705882354E-2</v>
      </c>
    </row>
    <row r="767" spans="1:20">
      <c r="A767">
        <v>767</v>
      </c>
      <c r="B767" t="s">
        <v>1004</v>
      </c>
      <c r="C767" t="s">
        <v>63</v>
      </c>
      <c r="D767" t="s">
        <v>39</v>
      </c>
      <c r="E767" t="s">
        <v>40</v>
      </c>
      <c r="F767" t="s">
        <v>56</v>
      </c>
      <c r="G767" s="3">
        <v>4.3</v>
      </c>
      <c r="H767">
        <v>2160</v>
      </c>
      <c r="I767">
        <v>3425</v>
      </c>
      <c r="J767">
        <v>2.1</v>
      </c>
      <c r="K767">
        <v>5642</v>
      </c>
      <c r="L767" s="2">
        <v>301000</v>
      </c>
      <c r="M767" s="2">
        <v>4770000</v>
      </c>
      <c r="N767">
        <v>132</v>
      </c>
      <c r="O767">
        <v>3.8</v>
      </c>
      <c r="P767" t="s">
        <v>14</v>
      </c>
      <c r="Q767" t="s">
        <v>18</v>
      </c>
      <c r="R767" s="2">
        <f>Table4[[#This Row],[total_followers]]/(Table4[[#This Row],[total_time_streamed]] / 60)</f>
        <v>3200.9925558312657</v>
      </c>
      <c r="S767" t="str">
        <f>IF(Table4[[#This Row],[avg_games_per_stream]] &gt; 2, "Variety", "Focused")</f>
        <v>Variety</v>
      </c>
      <c r="T767" s="4">
        <f>Table4[[#This Row],[avg_viewers_per_stream]] / Table4[[#This Row],[total_followers]]</f>
        <v>1.1378737541528239E-2</v>
      </c>
    </row>
    <row r="768" spans="1:20">
      <c r="A768">
        <v>768</v>
      </c>
      <c r="B768" t="s">
        <v>1005</v>
      </c>
      <c r="C768" t="s">
        <v>1006</v>
      </c>
      <c r="D768" t="s">
        <v>39</v>
      </c>
      <c r="E768" t="s">
        <v>66</v>
      </c>
      <c r="F768" t="s">
        <v>40</v>
      </c>
      <c r="G768" s="3">
        <v>3.3</v>
      </c>
      <c r="H768">
        <v>1690</v>
      </c>
      <c r="I768">
        <v>9160</v>
      </c>
      <c r="J768">
        <v>1.7</v>
      </c>
      <c r="K768">
        <v>3204</v>
      </c>
      <c r="L768" s="2">
        <v>160000</v>
      </c>
      <c r="M768" s="2">
        <v>871000</v>
      </c>
      <c r="N768">
        <v>49</v>
      </c>
      <c r="O768">
        <v>4.2</v>
      </c>
      <c r="P768" t="s">
        <v>20</v>
      </c>
      <c r="Q768" t="s">
        <v>14</v>
      </c>
      <c r="R768" s="2">
        <f>Table4[[#This Row],[total_followers]]/(Table4[[#This Row],[total_time_streamed]] / 60)</f>
        <v>2996.2546816479403</v>
      </c>
      <c r="S768" t="str">
        <f>IF(Table4[[#This Row],[avg_games_per_stream]] &gt; 2, "Variety", "Focused")</f>
        <v>Focused</v>
      </c>
      <c r="T768" s="4">
        <f>Table4[[#This Row],[avg_viewers_per_stream]] / Table4[[#This Row],[total_followers]]</f>
        <v>5.7250000000000002E-2</v>
      </c>
    </row>
    <row r="769" spans="1:20">
      <c r="A769">
        <v>769</v>
      </c>
      <c r="B769" t="s">
        <v>1007</v>
      </c>
      <c r="C769" t="s">
        <v>63</v>
      </c>
      <c r="D769" t="s">
        <v>39</v>
      </c>
      <c r="E769" t="s">
        <v>595</v>
      </c>
      <c r="G769" s="3">
        <v>6.9</v>
      </c>
      <c r="H769">
        <v>0</v>
      </c>
      <c r="I769">
        <v>0</v>
      </c>
      <c r="J769">
        <v>1</v>
      </c>
      <c r="K769">
        <v>140</v>
      </c>
      <c r="L769" s="2">
        <v>10500</v>
      </c>
      <c r="M769" s="2">
        <v>0</v>
      </c>
      <c r="N769">
        <v>1</v>
      </c>
      <c r="O769">
        <v>1.1000000000000001</v>
      </c>
      <c r="P769" t="s">
        <v>17</v>
      </c>
      <c r="Q769" t="s">
        <v>16</v>
      </c>
      <c r="R769" s="2">
        <f>Table4[[#This Row],[total_followers]]/(Table4[[#This Row],[total_time_streamed]] / 60)</f>
        <v>4500</v>
      </c>
      <c r="S769" t="str">
        <f>IF(Table4[[#This Row],[avg_games_per_stream]] &gt; 2, "Variety", "Focused")</f>
        <v>Focused</v>
      </c>
      <c r="T769" s="4">
        <f>Table4[[#This Row],[avg_viewers_per_stream]] / Table4[[#This Row],[total_followers]]</f>
        <v>0</v>
      </c>
    </row>
    <row r="770" spans="1:20">
      <c r="A770">
        <v>770</v>
      </c>
      <c r="B770" t="s">
        <v>1008</v>
      </c>
      <c r="C770" t="s">
        <v>7</v>
      </c>
      <c r="D770" t="s">
        <v>39</v>
      </c>
      <c r="E770" t="s">
        <v>40</v>
      </c>
      <c r="F770" t="s">
        <v>74</v>
      </c>
      <c r="G770" s="3">
        <v>5.0999999999999996</v>
      </c>
      <c r="H770">
        <v>9550</v>
      </c>
      <c r="I770">
        <v>1434</v>
      </c>
      <c r="J770">
        <v>2.1</v>
      </c>
      <c r="K770">
        <v>557</v>
      </c>
      <c r="L770" s="2">
        <v>1050000</v>
      </c>
      <c r="M770" s="2">
        <v>15800000</v>
      </c>
      <c r="N770">
        <v>183</v>
      </c>
      <c r="O770">
        <v>3.3</v>
      </c>
      <c r="P770" t="s">
        <v>17</v>
      </c>
      <c r="Q770" t="s">
        <v>15</v>
      </c>
      <c r="R770" s="2">
        <f>Table4[[#This Row],[total_followers]]/(Table4[[#This Row],[total_time_streamed]] / 60)</f>
        <v>113105.92459605027</v>
      </c>
      <c r="S770" t="str">
        <f>IF(Table4[[#This Row],[avg_games_per_stream]] &gt; 2, "Variety", "Focused")</f>
        <v>Variety</v>
      </c>
      <c r="T770" s="4">
        <f>Table4[[#This Row],[avg_viewers_per_stream]] / Table4[[#This Row],[total_followers]]</f>
        <v>1.3657142857142856E-3</v>
      </c>
    </row>
    <row r="771" spans="1:20">
      <c r="A771">
        <v>771</v>
      </c>
      <c r="B771" t="s">
        <v>1009</v>
      </c>
      <c r="C771" t="s">
        <v>63</v>
      </c>
      <c r="D771" t="s">
        <v>39</v>
      </c>
      <c r="E771" t="s">
        <v>595</v>
      </c>
      <c r="G771" s="3">
        <v>17.7</v>
      </c>
      <c r="H771">
        <v>4240</v>
      </c>
      <c r="I771">
        <v>0</v>
      </c>
      <c r="J771">
        <v>1</v>
      </c>
      <c r="K771">
        <v>530</v>
      </c>
      <c r="L771" s="2">
        <v>848</v>
      </c>
      <c r="M771" s="2">
        <v>0</v>
      </c>
      <c r="N771">
        <v>1</v>
      </c>
      <c r="O771">
        <v>1.9</v>
      </c>
      <c r="P771" t="s">
        <v>20</v>
      </c>
      <c r="Q771" t="s">
        <v>18</v>
      </c>
      <c r="R771" s="2">
        <f>Table4[[#This Row],[total_followers]]/(Table4[[#This Row],[total_time_streamed]] / 60)</f>
        <v>96</v>
      </c>
      <c r="S771" t="str">
        <f>IF(Table4[[#This Row],[avg_games_per_stream]] &gt; 2, "Variety", "Focused")</f>
        <v>Focused</v>
      </c>
      <c r="T771" s="4">
        <f>Table4[[#This Row],[avg_viewers_per_stream]] / Table4[[#This Row],[total_followers]]</f>
        <v>0</v>
      </c>
    </row>
    <row r="772" spans="1:20">
      <c r="A772">
        <v>772</v>
      </c>
      <c r="B772" t="s">
        <v>1010</v>
      </c>
      <c r="C772" t="s">
        <v>3</v>
      </c>
      <c r="D772" t="s">
        <v>39</v>
      </c>
      <c r="E772" t="s">
        <v>695</v>
      </c>
      <c r="F772" t="s">
        <v>371</v>
      </c>
      <c r="G772" s="3">
        <v>7.3</v>
      </c>
      <c r="H772">
        <v>710</v>
      </c>
      <c r="I772">
        <v>6320</v>
      </c>
      <c r="J772">
        <v>1.3</v>
      </c>
      <c r="K772">
        <v>11137</v>
      </c>
      <c r="L772" s="2">
        <v>112000</v>
      </c>
      <c r="M772" s="2">
        <v>996000</v>
      </c>
      <c r="N772">
        <v>63</v>
      </c>
      <c r="O772">
        <v>4.9000000000000004</v>
      </c>
      <c r="P772" t="s">
        <v>15</v>
      </c>
      <c r="Q772" t="s">
        <v>14</v>
      </c>
      <c r="R772" s="2">
        <f>Table4[[#This Row],[total_followers]]/(Table4[[#This Row],[total_time_streamed]] / 60)</f>
        <v>603.39409176618472</v>
      </c>
      <c r="S772" t="str">
        <f>IF(Table4[[#This Row],[avg_games_per_stream]] &gt; 2, "Variety", "Focused")</f>
        <v>Focused</v>
      </c>
      <c r="T772" s="4">
        <f>Table4[[#This Row],[avg_viewers_per_stream]] / Table4[[#This Row],[total_followers]]</f>
        <v>5.6428571428571425E-2</v>
      </c>
    </row>
    <row r="773" spans="1:20">
      <c r="A773">
        <v>773</v>
      </c>
      <c r="B773" t="s">
        <v>1011</v>
      </c>
      <c r="C773" t="s">
        <v>7</v>
      </c>
      <c r="D773" t="s">
        <v>39</v>
      </c>
      <c r="E773" t="s">
        <v>64</v>
      </c>
      <c r="F773" t="s">
        <v>12</v>
      </c>
      <c r="G773" s="3">
        <v>8.9</v>
      </c>
      <c r="H773">
        <v>1180</v>
      </c>
      <c r="I773">
        <v>2030</v>
      </c>
      <c r="J773">
        <v>1</v>
      </c>
      <c r="K773">
        <v>4466</v>
      </c>
      <c r="L773" s="2">
        <v>78200</v>
      </c>
      <c r="M773" s="2">
        <v>135000</v>
      </c>
      <c r="N773">
        <v>4</v>
      </c>
      <c r="O773">
        <v>2.2999999999999998</v>
      </c>
      <c r="P773" t="s">
        <v>14</v>
      </c>
      <c r="Q773" t="s">
        <v>16</v>
      </c>
      <c r="R773" s="2">
        <f>Table4[[#This Row],[total_followers]]/(Table4[[#This Row],[total_time_streamed]] / 60)</f>
        <v>1050.604567845947</v>
      </c>
      <c r="S773" t="str">
        <f>IF(Table4[[#This Row],[avg_games_per_stream]] &gt; 2, "Variety", "Focused")</f>
        <v>Focused</v>
      </c>
      <c r="T773" s="4">
        <f>Table4[[#This Row],[avg_viewers_per_stream]] / Table4[[#This Row],[total_followers]]</f>
        <v>2.5959079283887469E-2</v>
      </c>
    </row>
    <row r="774" spans="1:20">
      <c r="A774">
        <v>774</v>
      </c>
      <c r="B774" t="s">
        <v>1012</v>
      </c>
      <c r="C774" t="s">
        <v>91</v>
      </c>
      <c r="D774" t="s">
        <v>39</v>
      </c>
      <c r="E774" t="s">
        <v>74</v>
      </c>
      <c r="F774" t="s">
        <v>66</v>
      </c>
      <c r="G774" s="3">
        <v>7.1</v>
      </c>
      <c r="H774">
        <v>2830</v>
      </c>
      <c r="I774">
        <v>10323</v>
      </c>
      <c r="J774">
        <v>1.5</v>
      </c>
      <c r="K774">
        <v>13203</v>
      </c>
      <c r="L774" s="2">
        <v>752000</v>
      </c>
      <c r="M774" s="2">
        <v>27500000</v>
      </c>
      <c r="N774">
        <v>66</v>
      </c>
      <c r="O774">
        <v>6.1</v>
      </c>
      <c r="P774" t="s">
        <v>16</v>
      </c>
      <c r="Q774" t="s">
        <v>14</v>
      </c>
      <c r="R774" s="2">
        <f>Table4[[#This Row],[total_followers]]/(Table4[[#This Row],[total_time_streamed]] / 60)</f>
        <v>3417.4051351965459</v>
      </c>
      <c r="S774" t="str">
        <f>IF(Table4[[#This Row],[avg_games_per_stream]] &gt; 2, "Variety", "Focused")</f>
        <v>Focused</v>
      </c>
      <c r="T774" s="4">
        <f>Table4[[#This Row],[avg_viewers_per_stream]] / Table4[[#This Row],[total_followers]]</f>
        <v>1.3727393617021277E-2</v>
      </c>
    </row>
    <row r="775" spans="1:20">
      <c r="A775">
        <v>775</v>
      </c>
      <c r="B775" t="s">
        <v>1013</v>
      </c>
      <c r="C775" t="s">
        <v>4</v>
      </c>
      <c r="D775" t="s">
        <v>39</v>
      </c>
      <c r="E775" t="s">
        <v>40</v>
      </c>
      <c r="F775" t="s">
        <v>1014</v>
      </c>
      <c r="G775" s="3">
        <v>3.5</v>
      </c>
      <c r="H775">
        <v>6910</v>
      </c>
      <c r="I775">
        <v>2533</v>
      </c>
      <c r="J775">
        <v>1.2</v>
      </c>
      <c r="K775">
        <v>4400</v>
      </c>
      <c r="L775" s="2">
        <v>89100</v>
      </c>
      <c r="M775" s="2">
        <v>316000</v>
      </c>
      <c r="N775">
        <v>15</v>
      </c>
      <c r="O775">
        <v>1</v>
      </c>
      <c r="P775" t="s">
        <v>18</v>
      </c>
      <c r="Q775" t="s">
        <v>20</v>
      </c>
      <c r="R775" s="2">
        <f>Table4[[#This Row],[total_followers]]/(Table4[[#This Row],[total_time_streamed]] / 60)</f>
        <v>1215</v>
      </c>
      <c r="S775" t="str">
        <f>IF(Table4[[#This Row],[avg_games_per_stream]] &gt; 2, "Variety", "Focused")</f>
        <v>Focused</v>
      </c>
      <c r="T775" s="4">
        <f>Table4[[#This Row],[avg_viewers_per_stream]] / Table4[[#This Row],[total_followers]]</f>
        <v>2.8428731762065094E-2</v>
      </c>
    </row>
    <row r="776" spans="1:20">
      <c r="A776">
        <v>776</v>
      </c>
      <c r="B776" t="s">
        <v>1015</v>
      </c>
      <c r="C776" t="s">
        <v>3</v>
      </c>
      <c r="D776" t="s">
        <v>39</v>
      </c>
      <c r="E776" t="s">
        <v>88</v>
      </c>
      <c r="F776" t="s">
        <v>74</v>
      </c>
      <c r="G776" s="3">
        <v>7.3</v>
      </c>
      <c r="H776">
        <v>1682</v>
      </c>
      <c r="I776">
        <v>34197</v>
      </c>
      <c r="J776">
        <v>1.8</v>
      </c>
      <c r="K776">
        <v>13949</v>
      </c>
      <c r="L776" s="2">
        <v>3100000</v>
      </c>
      <c r="M776" s="2">
        <v>63000000</v>
      </c>
      <c r="N776">
        <v>119</v>
      </c>
      <c r="O776">
        <v>5.4</v>
      </c>
      <c r="P776" t="s">
        <v>17</v>
      </c>
      <c r="Q776" t="s">
        <v>14</v>
      </c>
      <c r="R776" s="2">
        <f>Table4[[#This Row],[total_followers]]/(Table4[[#This Row],[total_time_streamed]] / 60)</f>
        <v>13334.289196358162</v>
      </c>
      <c r="S776" t="str">
        <f>IF(Table4[[#This Row],[avg_games_per_stream]] &gt; 2, "Variety", "Focused")</f>
        <v>Focused</v>
      </c>
      <c r="T776" s="4">
        <f>Table4[[#This Row],[avg_viewers_per_stream]] / Table4[[#This Row],[total_followers]]</f>
        <v>1.1031290322580645E-2</v>
      </c>
    </row>
    <row r="777" spans="1:20">
      <c r="A777">
        <v>777</v>
      </c>
      <c r="B777" t="s">
        <v>1016</v>
      </c>
      <c r="C777" t="s">
        <v>61</v>
      </c>
      <c r="D777" t="s">
        <v>39</v>
      </c>
      <c r="E777" t="s">
        <v>66</v>
      </c>
      <c r="F777" t="s">
        <v>40</v>
      </c>
      <c r="G777" s="3">
        <v>4.7</v>
      </c>
      <c r="H777">
        <v>1740</v>
      </c>
      <c r="I777">
        <v>4331</v>
      </c>
      <c r="J777">
        <v>1.5</v>
      </c>
      <c r="K777">
        <v>5008</v>
      </c>
      <c r="L777" s="2">
        <v>216000</v>
      </c>
      <c r="M777" s="2">
        <v>5370000</v>
      </c>
      <c r="N777">
        <v>56</v>
      </c>
      <c r="O777">
        <v>2.8</v>
      </c>
      <c r="P777" t="s">
        <v>15</v>
      </c>
      <c r="Q777" t="s">
        <v>14</v>
      </c>
      <c r="R777" s="2">
        <f>Table4[[#This Row],[total_followers]]/(Table4[[#This Row],[total_time_streamed]] / 60)</f>
        <v>2587.8594249201278</v>
      </c>
      <c r="S777" t="str">
        <f>IF(Table4[[#This Row],[avg_games_per_stream]] &gt; 2, "Variety", "Focused")</f>
        <v>Focused</v>
      </c>
      <c r="T777" s="4">
        <f>Table4[[#This Row],[avg_viewers_per_stream]] / Table4[[#This Row],[total_followers]]</f>
        <v>2.0050925925925927E-2</v>
      </c>
    </row>
    <row r="778" spans="1:20">
      <c r="A778">
        <v>778</v>
      </c>
      <c r="B778" t="s">
        <v>1017</v>
      </c>
      <c r="C778" t="s">
        <v>3</v>
      </c>
      <c r="D778" t="s">
        <v>39</v>
      </c>
      <c r="E778" t="s">
        <v>51</v>
      </c>
      <c r="F778" t="s">
        <v>40</v>
      </c>
      <c r="G778" s="3">
        <v>4.0999999999999996</v>
      </c>
      <c r="H778">
        <v>3744</v>
      </c>
      <c r="I778">
        <v>25754</v>
      </c>
      <c r="J778">
        <v>1.9</v>
      </c>
      <c r="K778">
        <v>2288</v>
      </c>
      <c r="L778" s="2">
        <v>1880000</v>
      </c>
      <c r="M778" s="2">
        <v>12900000</v>
      </c>
      <c r="N778">
        <v>105</v>
      </c>
      <c r="O778">
        <v>1.7</v>
      </c>
      <c r="P778" t="s">
        <v>19</v>
      </c>
      <c r="Q778" t="s">
        <v>17</v>
      </c>
      <c r="R778" s="2">
        <f>Table4[[#This Row],[total_followers]]/(Table4[[#This Row],[total_time_streamed]] / 60)</f>
        <v>49300.6993006993</v>
      </c>
      <c r="S778" t="str">
        <f>IF(Table4[[#This Row],[avg_games_per_stream]] &gt; 2, "Variety", "Focused")</f>
        <v>Focused</v>
      </c>
      <c r="T778" s="4">
        <f>Table4[[#This Row],[avg_viewers_per_stream]] / Table4[[#This Row],[total_followers]]</f>
        <v>1.3698936170212766E-2</v>
      </c>
    </row>
    <row r="779" spans="1:20">
      <c r="A779">
        <v>779</v>
      </c>
      <c r="B779" t="s">
        <v>1018</v>
      </c>
      <c r="C779" t="s">
        <v>3</v>
      </c>
      <c r="D779" t="s">
        <v>39</v>
      </c>
      <c r="E779" t="s">
        <v>290</v>
      </c>
      <c r="F779" t="s">
        <v>291</v>
      </c>
      <c r="G779" s="3">
        <v>5</v>
      </c>
      <c r="H779">
        <v>4740</v>
      </c>
      <c r="I779">
        <v>1599</v>
      </c>
      <c r="J779">
        <v>1.5</v>
      </c>
      <c r="K779">
        <v>8494</v>
      </c>
      <c r="L779" s="2">
        <v>755000</v>
      </c>
      <c r="M779" s="2">
        <v>20500000</v>
      </c>
      <c r="N779">
        <v>136</v>
      </c>
      <c r="O779">
        <v>4.4000000000000004</v>
      </c>
      <c r="P779" t="s">
        <v>19</v>
      </c>
      <c r="Q779" t="s">
        <v>15</v>
      </c>
      <c r="R779" s="2">
        <f>Table4[[#This Row],[total_followers]]/(Table4[[#This Row],[total_time_streamed]] / 60)</f>
        <v>5333.1763597833769</v>
      </c>
      <c r="S779" t="str">
        <f>IF(Table4[[#This Row],[avg_games_per_stream]] &gt; 2, "Variety", "Focused")</f>
        <v>Focused</v>
      </c>
      <c r="T779" s="4">
        <f>Table4[[#This Row],[avg_viewers_per_stream]] / Table4[[#This Row],[total_followers]]</f>
        <v>2.1178807947019869E-3</v>
      </c>
    </row>
    <row r="780" spans="1:20">
      <c r="A780">
        <v>780</v>
      </c>
      <c r="B780" t="s">
        <v>1019</v>
      </c>
      <c r="C780" t="s">
        <v>63</v>
      </c>
      <c r="D780" t="s">
        <v>39</v>
      </c>
      <c r="E780" t="s">
        <v>64</v>
      </c>
      <c r="F780" t="s">
        <v>1020</v>
      </c>
      <c r="G780" s="3">
        <v>5.5</v>
      </c>
      <c r="H780">
        <v>3590</v>
      </c>
      <c r="I780">
        <v>17325</v>
      </c>
      <c r="J780">
        <v>1</v>
      </c>
      <c r="K780">
        <v>8289</v>
      </c>
      <c r="L780" s="2">
        <v>563000</v>
      </c>
      <c r="M780" s="2">
        <v>27100000</v>
      </c>
      <c r="N780">
        <v>23</v>
      </c>
      <c r="O780">
        <v>5.2</v>
      </c>
      <c r="P780" t="s">
        <v>14</v>
      </c>
      <c r="Q780" t="s">
        <v>18</v>
      </c>
      <c r="R780" s="2">
        <f>Table4[[#This Row],[total_followers]]/(Table4[[#This Row],[total_time_streamed]] / 60)</f>
        <v>4075.2804922186028</v>
      </c>
      <c r="S780" t="str">
        <f>IF(Table4[[#This Row],[avg_games_per_stream]] &gt; 2, "Variety", "Focused")</f>
        <v>Focused</v>
      </c>
      <c r="T780" s="4">
        <f>Table4[[#This Row],[avg_viewers_per_stream]] / Table4[[#This Row],[total_followers]]</f>
        <v>3.0772646536412079E-2</v>
      </c>
    </row>
    <row r="781" spans="1:20">
      <c r="A781">
        <v>781</v>
      </c>
      <c r="B781" t="s">
        <v>1021</v>
      </c>
      <c r="C781" t="s">
        <v>6</v>
      </c>
      <c r="D781" t="s">
        <v>39</v>
      </c>
      <c r="E781" t="s">
        <v>109</v>
      </c>
      <c r="F781" t="s">
        <v>70</v>
      </c>
      <c r="G781" s="3">
        <v>11.4</v>
      </c>
      <c r="H781">
        <v>2620</v>
      </c>
      <c r="I781">
        <v>6438</v>
      </c>
      <c r="J781">
        <v>1.4</v>
      </c>
      <c r="K781">
        <v>13165</v>
      </c>
      <c r="L781" s="2">
        <v>286000</v>
      </c>
      <c r="M781" s="2">
        <v>6950000</v>
      </c>
      <c r="N781">
        <v>107</v>
      </c>
      <c r="O781">
        <v>3.3</v>
      </c>
      <c r="P781" t="s">
        <v>20</v>
      </c>
      <c r="Q781" t="s">
        <v>14</v>
      </c>
      <c r="R781" s="2">
        <f>Table4[[#This Row],[total_followers]]/(Table4[[#This Row],[total_time_streamed]] / 60)</f>
        <v>1303.4561336878087</v>
      </c>
      <c r="S781" t="str">
        <f>IF(Table4[[#This Row],[avg_games_per_stream]] &gt; 2, "Variety", "Focused")</f>
        <v>Focused</v>
      </c>
      <c r="T781" s="4">
        <f>Table4[[#This Row],[avg_viewers_per_stream]] / Table4[[#This Row],[total_followers]]</f>
        <v>2.251048951048951E-2</v>
      </c>
    </row>
    <row r="782" spans="1:20">
      <c r="A782">
        <v>782</v>
      </c>
      <c r="B782" t="s">
        <v>1022</v>
      </c>
      <c r="C782" t="s">
        <v>3</v>
      </c>
      <c r="D782" t="s">
        <v>39</v>
      </c>
      <c r="E782" t="s">
        <v>40</v>
      </c>
      <c r="F782" t="s">
        <v>1023</v>
      </c>
      <c r="G782" s="3">
        <v>6.4</v>
      </c>
      <c r="H782">
        <v>2300</v>
      </c>
      <c r="I782">
        <v>3920</v>
      </c>
      <c r="J782">
        <v>1.9</v>
      </c>
      <c r="K782">
        <v>4884</v>
      </c>
      <c r="L782" s="2">
        <v>176000</v>
      </c>
      <c r="M782" s="2">
        <v>300000</v>
      </c>
      <c r="N782">
        <v>225</v>
      </c>
      <c r="O782">
        <v>4</v>
      </c>
      <c r="P782" t="s">
        <v>20</v>
      </c>
      <c r="Q782" t="s">
        <v>14</v>
      </c>
      <c r="R782" s="2">
        <f>Table4[[#This Row],[total_followers]]/(Table4[[#This Row],[total_time_streamed]] / 60)</f>
        <v>2162.1621621621621</v>
      </c>
      <c r="S782" t="str">
        <f>IF(Table4[[#This Row],[avg_games_per_stream]] &gt; 2, "Variety", "Focused")</f>
        <v>Focused</v>
      </c>
      <c r="T782" s="4">
        <f>Table4[[#This Row],[avg_viewers_per_stream]] / Table4[[#This Row],[total_followers]]</f>
        <v>2.2272727272727274E-2</v>
      </c>
    </row>
    <row r="783" spans="1:20">
      <c r="A783">
        <v>783</v>
      </c>
      <c r="B783" t="s">
        <v>1024</v>
      </c>
      <c r="C783" t="s">
        <v>5</v>
      </c>
      <c r="D783" t="s">
        <v>39</v>
      </c>
      <c r="E783" t="s">
        <v>46</v>
      </c>
      <c r="F783" t="s">
        <v>54</v>
      </c>
      <c r="G783" s="3">
        <v>5.9</v>
      </c>
      <c r="H783">
        <v>2000</v>
      </c>
      <c r="I783">
        <v>13241</v>
      </c>
      <c r="J783">
        <v>1.2</v>
      </c>
      <c r="K783">
        <v>10248</v>
      </c>
      <c r="L783" s="2">
        <v>355000</v>
      </c>
      <c r="M783" s="2">
        <v>23500000</v>
      </c>
      <c r="N783">
        <v>153</v>
      </c>
      <c r="O783">
        <v>4.5</v>
      </c>
      <c r="P783" t="s">
        <v>14</v>
      </c>
      <c r="Q783" t="s">
        <v>16</v>
      </c>
      <c r="R783" s="2">
        <f>Table4[[#This Row],[total_followers]]/(Table4[[#This Row],[total_time_streamed]] / 60)</f>
        <v>2078.4543325526929</v>
      </c>
      <c r="S783" t="str">
        <f>IF(Table4[[#This Row],[avg_games_per_stream]] &gt; 2, "Variety", "Focused")</f>
        <v>Focused</v>
      </c>
      <c r="T783" s="4">
        <f>Table4[[#This Row],[avg_viewers_per_stream]] / Table4[[#This Row],[total_followers]]</f>
        <v>3.7298591549295775E-2</v>
      </c>
    </row>
    <row r="784" spans="1:20">
      <c r="A784">
        <v>784</v>
      </c>
      <c r="B784" t="s">
        <v>1025</v>
      </c>
      <c r="C784" t="s">
        <v>3</v>
      </c>
      <c r="D784" t="s">
        <v>39</v>
      </c>
      <c r="E784" t="s">
        <v>40</v>
      </c>
      <c r="F784" t="s">
        <v>209</v>
      </c>
      <c r="G784" s="3">
        <v>4.3</v>
      </c>
      <c r="H784">
        <v>830</v>
      </c>
      <c r="I784">
        <v>2263</v>
      </c>
      <c r="J784">
        <v>1.4</v>
      </c>
      <c r="K784">
        <v>9768</v>
      </c>
      <c r="L784" s="2">
        <v>183000</v>
      </c>
      <c r="M784" s="2">
        <v>5260000</v>
      </c>
      <c r="N784">
        <v>474</v>
      </c>
      <c r="O784">
        <v>5.8</v>
      </c>
      <c r="P784" t="s">
        <v>15</v>
      </c>
      <c r="Q784" t="s">
        <v>15</v>
      </c>
      <c r="R784" s="2">
        <f>Table4[[#This Row],[total_followers]]/(Table4[[#This Row],[total_time_streamed]] / 60)</f>
        <v>1124.078624078624</v>
      </c>
      <c r="S784" t="str">
        <f>IF(Table4[[#This Row],[avg_games_per_stream]] &gt; 2, "Variety", "Focused")</f>
        <v>Focused</v>
      </c>
      <c r="T784" s="4">
        <f>Table4[[#This Row],[avg_viewers_per_stream]] / Table4[[#This Row],[total_followers]]</f>
        <v>1.2366120218579234E-2</v>
      </c>
    </row>
    <row r="785" spans="1:20">
      <c r="A785">
        <v>785</v>
      </c>
      <c r="B785" t="s">
        <v>1026</v>
      </c>
      <c r="C785" t="s">
        <v>7</v>
      </c>
      <c r="D785" t="s">
        <v>39</v>
      </c>
      <c r="E785" t="s">
        <v>40</v>
      </c>
      <c r="F785" t="s">
        <v>74</v>
      </c>
      <c r="G785" s="3">
        <v>2.6</v>
      </c>
      <c r="H785">
        <v>1019</v>
      </c>
      <c r="I785">
        <v>0</v>
      </c>
      <c r="J785">
        <v>2.1</v>
      </c>
      <c r="K785">
        <v>2000</v>
      </c>
      <c r="L785" s="2">
        <v>85600</v>
      </c>
      <c r="M785" s="2">
        <v>0</v>
      </c>
      <c r="N785">
        <v>6</v>
      </c>
      <c r="O785">
        <v>1.8</v>
      </c>
      <c r="P785" t="s">
        <v>17</v>
      </c>
      <c r="Q785" t="s">
        <v>18</v>
      </c>
      <c r="R785" s="2">
        <f>Table4[[#This Row],[total_followers]]/(Table4[[#This Row],[total_time_streamed]] / 60)</f>
        <v>2568</v>
      </c>
      <c r="S785" t="str">
        <f>IF(Table4[[#This Row],[avg_games_per_stream]] &gt; 2, "Variety", "Focused")</f>
        <v>Variety</v>
      </c>
      <c r="T785" s="4">
        <f>Table4[[#This Row],[avg_viewers_per_stream]] / Table4[[#This Row],[total_followers]]</f>
        <v>0</v>
      </c>
    </row>
    <row r="786" spans="1:20">
      <c r="A786">
        <v>786</v>
      </c>
      <c r="B786" t="s">
        <v>1027</v>
      </c>
      <c r="C786" t="s">
        <v>3</v>
      </c>
      <c r="D786" t="s">
        <v>39</v>
      </c>
      <c r="E786" t="s">
        <v>463</v>
      </c>
      <c r="F786" t="s">
        <v>56</v>
      </c>
      <c r="G786" s="3">
        <v>2.2000000000000002</v>
      </c>
      <c r="H786">
        <v>2131</v>
      </c>
      <c r="I786">
        <v>270</v>
      </c>
      <c r="J786">
        <v>1.4</v>
      </c>
      <c r="K786">
        <v>1148</v>
      </c>
      <c r="L786" s="2">
        <v>1010000</v>
      </c>
      <c r="M786" s="2">
        <v>13000</v>
      </c>
      <c r="N786">
        <v>32</v>
      </c>
      <c r="O786">
        <v>4</v>
      </c>
      <c r="P786" t="s">
        <v>17</v>
      </c>
      <c r="Q786" t="s">
        <v>20</v>
      </c>
      <c r="R786" s="2">
        <f>Table4[[#This Row],[total_followers]]/(Table4[[#This Row],[total_time_streamed]] / 60)</f>
        <v>52787.456445993033</v>
      </c>
      <c r="S786" t="str">
        <f>IF(Table4[[#This Row],[avg_games_per_stream]] &gt; 2, "Variety", "Focused")</f>
        <v>Focused</v>
      </c>
      <c r="T786" s="4">
        <f>Table4[[#This Row],[avg_viewers_per_stream]] / Table4[[#This Row],[total_followers]]</f>
        <v>2.6732673267326735E-4</v>
      </c>
    </row>
    <row r="787" spans="1:20">
      <c r="A787">
        <v>787</v>
      </c>
      <c r="B787" t="s">
        <v>1028</v>
      </c>
      <c r="C787" t="s">
        <v>2</v>
      </c>
      <c r="D787" t="s">
        <v>39</v>
      </c>
      <c r="E787" t="s">
        <v>40</v>
      </c>
      <c r="F787" t="s">
        <v>68</v>
      </c>
      <c r="G787" s="3">
        <v>4.0999999999999996</v>
      </c>
      <c r="H787">
        <v>7270</v>
      </c>
      <c r="I787">
        <v>3998</v>
      </c>
      <c r="J787">
        <v>1.4</v>
      </c>
      <c r="K787">
        <v>2291</v>
      </c>
      <c r="L787" s="2">
        <v>420000</v>
      </c>
      <c r="M787" s="2">
        <v>2310000</v>
      </c>
      <c r="N787">
        <v>86</v>
      </c>
      <c r="O787">
        <v>1.6</v>
      </c>
      <c r="P787" t="s">
        <v>20</v>
      </c>
      <c r="Q787" t="s">
        <v>14</v>
      </c>
      <c r="R787" s="2">
        <f>Table4[[#This Row],[total_followers]]/(Table4[[#This Row],[total_time_streamed]] / 60)</f>
        <v>10999.563509384549</v>
      </c>
      <c r="S787" t="str">
        <f>IF(Table4[[#This Row],[avg_games_per_stream]] &gt; 2, "Variety", "Focused")</f>
        <v>Focused</v>
      </c>
      <c r="T787" s="4">
        <f>Table4[[#This Row],[avg_viewers_per_stream]] / Table4[[#This Row],[total_followers]]</f>
        <v>9.5190476190476197E-3</v>
      </c>
    </row>
    <row r="788" spans="1:20">
      <c r="A788">
        <v>788</v>
      </c>
      <c r="B788" t="s">
        <v>1029</v>
      </c>
      <c r="C788" t="s">
        <v>3</v>
      </c>
      <c r="D788" t="s">
        <v>39</v>
      </c>
      <c r="E788" t="s">
        <v>74</v>
      </c>
      <c r="F788" t="s">
        <v>40</v>
      </c>
      <c r="G788" s="3">
        <v>5</v>
      </c>
      <c r="H788">
        <v>7640</v>
      </c>
      <c r="I788">
        <v>8341</v>
      </c>
      <c r="J788">
        <v>1.2</v>
      </c>
      <c r="K788">
        <v>5792</v>
      </c>
      <c r="L788" s="2">
        <v>837000</v>
      </c>
      <c r="M788" s="2">
        <v>9130000</v>
      </c>
      <c r="N788">
        <v>38</v>
      </c>
      <c r="O788">
        <v>3.4</v>
      </c>
      <c r="P788" t="s">
        <v>20</v>
      </c>
      <c r="Q788" t="s">
        <v>14</v>
      </c>
      <c r="R788" s="2">
        <f>Table4[[#This Row],[total_followers]]/(Table4[[#This Row],[total_time_streamed]] / 60)</f>
        <v>8670.5801104972379</v>
      </c>
      <c r="S788" t="str">
        <f>IF(Table4[[#This Row],[avg_games_per_stream]] &gt; 2, "Variety", "Focused")</f>
        <v>Focused</v>
      </c>
      <c r="T788" s="4">
        <f>Table4[[#This Row],[avg_viewers_per_stream]] / Table4[[#This Row],[total_followers]]</f>
        <v>9.9653524492234174E-3</v>
      </c>
    </row>
    <row r="789" spans="1:20">
      <c r="A789">
        <v>789</v>
      </c>
      <c r="B789" t="s">
        <v>1030</v>
      </c>
      <c r="C789" t="s">
        <v>7</v>
      </c>
      <c r="D789" t="s">
        <v>39</v>
      </c>
      <c r="E789" t="s">
        <v>40</v>
      </c>
      <c r="F789" t="s">
        <v>56</v>
      </c>
      <c r="G789" s="3">
        <v>5</v>
      </c>
      <c r="H789">
        <v>8100</v>
      </c>
      <c r="I789">
        <v>25235</v>
      </c>
      <c r="J789">
        <v>1.8</v>
      </c>
      <c r="K789">
        <v>8657</v>
      </c>
      <c r="L789" s="2">
        <v>1340000</v>
      </c>
      <c r="M789" s="2">
        <v>41900000</v>
      </c>
      <c r="N789">
        <v>148</v>
      </c>
      <c r="O789">
        <v>4.5</v>
      </c>
      <c r="P789" t="s">
        <v>16</v>
      </c>
      <c r="Q789" t="s">
        <v>20</v>
      </c>
      <c r="R789" s="2">
        <f>Table4[[#This Row],[total_followers]]/(Table4[[#This Row],[total_time_streamed]] / 60)</f>
        <v>9287.2819683493126</v>
      </c>
      <c r="S789" t="str">
        <f>IF(Table4[[#This Row],[avg_games_per_stream]] &gt; 2, "Variety", "Focused")</f>
        <v>Focused</v>
      </c>
      <c r="T789" s="4">
        <f>Table4[[#This Row],[avg_viewers_per_stream]] / Table4[[#This Row],[total_followers]]</f>
        <v>1.8832089552238807E-2</v>
      </c>
    </row>
    <row r="790" spans="1:20">
      <c r="A790">
        <v>790</v>
      </c>
      <c r="B790" t="s">
        <v>1031</v>
      </c>
      <c r="C790" t="s">
        <v>2</v>
      </c>
      <c r="D790" t="s">
        <v>39</v>
      </c>
      <c r="E790" t="s">
        <v>371</v>
      </c>
      <c r="F790" t="s">
        <v>54</v>
      </c>
      <c r="G790" s="3">
        <v>6.6</v>
      </c>
      <c r="H790">
        <v>2020</v>
      </c>
      <c r="I790">
        <v>7940</v>
      </c>
      <c r="J790">
        <v>1.7</v>
      </c>
      <c r="K790">
        <v>4155</v>
      </c>
      <c r="L790" s="2">
        <v>128000</v>
      </c>
      <c r="M790" s="2">
        <v>505000</v>
      </c>
      <c r="N790">
        <v>60</v>
      </c>
      <c r="O790">
        <v>4.2</v>
      </c>
      <c r="P790" t="s">
        <v>15</v>
      </c>
      <c r="Q790" t="s">
        <v>16</v>
      </c>
      <c r="R790" s="2">
        <f>Table4[[#This Row],[total_followers]]/(Table4[[#This Row],[total_time_streamed]] / 60)</f>
        <v>1848.3754512635378</v>
      </c>
      <c r="S790" t="str">
        <f>IF(Table4[[#This Row],[avg_games_per_stream]] &gt; 2, "Variety", "Focused")</f>
        <v>Focused</v>
      </c>
      <c r="T790" s="4">
        <f>Table4[[#This Row],[avg_viewers_per_stream]] / Table4[[#This Row],[total_followers]]</f>
        <v>6.2031250000000003E-2</v>
      </c>
    </row>
    <row r="791" spans="1:20">
      <c r="A791">
        <v>791</v>
      </c>
      <c r="B791" t="s">
        <v>1032</v>
      </c>
      <c r="C791" t="s">
        <v>61</v>
      </c>
      <c r="D791" t="s">
        <v>39</v>
      </c>
      <c r="E791" t="s">
        <v>40</v>
      </c>
      <c r="F791" t="s">
        <v>66</v>
      </c>
      <c r="G791" s="3">
        <v>5.3</v>
      </c>
      <c r="H791">
        <v>1330</v>
      </c>
      <c r="I791">
        <v>2100</v>
      </c>
      <c r="J791">
        <v>1.8</v>
      </c>
      <c r="K791">
        <v>6076</v>
      </c>
      <c r="L791" s="2">
        <v>150000</v>
      </c>
      <c r="M791" s="2">
        <v>236000</v>
      </c>
      <c r="N791">
        <v>112</v>
      </c>
      <c r="O791">
        <v>4.3</v>
      </c>
      <c r="P791" t="s">
        <v>17</v>
      </c>
      <c r="Q791" t="s">
        <v>16</v>
      </c>
      <c r="R791" s="2">
        <f>Table4[[#This Row],[total_followers]]/(Table4[[#This Row],[total_time_streamed]] / 60)</f>
        <v>1481.2376563528637</v>
      </c>
      <c r="S791" t="str">
        <f>IF(Table4[[#This Row],[avg_games_per_stream]] &gt; 2, "Variety", "Focused")</f>
        <v>Focused</v>
      </c>
      <c r="T791" s="4">
        <f>Table4[[#This Row],[avg_viewers_per_stream]] / Table4[[#This Row],[total_followers]]</f>
        <v>1.4E-2</v>
      </c>
    </row>
    <row r="792" spans="1:20">
      <c r="A792">
        <v>792</v>
      </c>
      <c r="B792" t="s">
        <v>1033</v>
      </c>
      <c r="C792" t="s">
        <v>3</v>
      </c>
      <c r="D792" t="s">
        <v>39</v>
      </c>
      <c r="E792" t="s">
        <v>66</v>
      </c>
      <c r="F792" t="s">
        <v>88</v>
      </c>
      <c r="G792" s="3">
        <v>4.7</v>
      </c>
      <c r="H792">
        <v>1289</v>
      </c>
      <c r="I792">
        <v>6305</v>
      </c>
      <c r="J792">
        <v>1.4</v>
      </c>
      <c r="K792">
        <v>3896</v>
      </c>
      <c r="L792" s="2">
        <v>1090000</v>
      </c>
      <c r="M792" s="2">
        <v>5350000</v>
      </c>
      <c r="N792">
        <v>30</v>
      </c>
      <c r="O792">
        <v>3.8</v>
      </c>
      <c r="P792" t="s">
        <v>19</v>
      </c>
      <c r="Q792" t="s">
        <v>18</v>
      </c>
      <c r="R792" s="2">
        <f>Table4[[#This Row],[total_followers]]/(Table4[[#This Row],[total_time_streamed]] / 60)</f>
        <v>16786.447638603695</v>
      </c>
      <c r="S792" t="str">
        <f>IF(Table4[[#This Row],[avg_games_per_stream]] &gt; 2, "Variety", "Focused")</f>
        <v>Focused</v>
      </c>
      <c r="T792" s="4">
        <f>Table4[[#This Row],[avg_viewers_per_stream]] / Table4[[#This Row],[total_followers]]</f>
        <v>5.7844036697247709E-3</v>
      </c>
    </row>
    <row r="793" spans="1:20">
      <c r="A793">
        <v>793</v>
      </c>
      <c r="B793" t="s">
        <v>1034</v>
      </c>
      <c r="C793" t="s">
        <v>229</v>
      </c>
      <c r="D793" t="s">
        <v>39</v>
      </c>
      <c r="E793" t="s">
        <v>873</v>
      </c>
      <c r="F793" t="s">
        <v>874</v>
      </c>
      <c r="G793" s="3">
        <v>4</v>
      </c>
      <c r="H793">
        <v>2090</v>
      </c>
      <c r="I793">
        <v>1555</v>
      </c>
      <c r="J793">
        <v>1.2</v>
      </c>
      <c r="K793">
        <v>2916</v>
      </c>
      <c r="L793" s="2">
        <v>123000</v>
      </c>
      <c r="M793" s="2">
        <v>9180000</v>
      </c>
      <c r="N793">
        <v>10</v>
      </c>
      <c r="O793">
        <v>2.2999999999999998</v>
      </c>
      <c r="P793" t="s">
        <v>15</v>
      </c>
      <c r="Q793" t="s">
        <v>18</v>
      </c>
      <c r="R793" s="2">
        <f>Table4[[#This Row],[total_followers]]/(Table4[[#This Row],[total_time_streamed]] / 60)</f>
        <v>2530.8641975308642</v>
      </c>
      <c r="S793" t="str">
        <f>IF(Table4[[#This Row],[avg_games_per_stream]] &gt; 2, "Variety", "Focused")</f>
        <v>Focused</v>
      </c>
      <c r="T793" s="4">
        <f>Table4[[#This Row],[avg_viewers_per_stream]] / Table4[[#This Row],[total_followers]]</f>
        <v>1.2642276422764227E-2</v>
      </c>
    </row>
    <row r="794" spans="1:20">
      <c r="A794">
        <v>794</v>
      </c>
      <c r="B794" t="s">
        <v>1035</v>
      </c>
      <c r="C794" t="s">
        <v>3</v>
      </c>
      <c r="D794" t="s">
        <v>39</v>
      </c>
      <c r="E794" t="s">
        <v>109</v>
      </c>
      <c r="F794" t="s">
        <v>466</v>
      </c>
      <c r="G794" s="3">
        <v>6.8</v>
      </c>
      <c r="H794">
        <v>1620</v>
      </c>
      <c r="I794">
        <v>9237</v>
      </c>
      <c r="J794">
        <v>1.5</v>
      </c>
      <c r="K794">
        <v>151</v>
      </c>
      <c r="L794" s="2">
        <v>415000</v>
      </c>
      <c r="M794" s="2">
        <v>22700000</v>
      </c>
      <c r="N794">
        <v>264</v>
      </c>
      <c r="O794">
        <v>5.7</v>
      </c>
      <c r="P794" t="s">
        <v>19</v>
      </c>
      <c r="Q794" t="s">
        <v>17</v>
      </c>
      <c r="R794" s="2">
        <f>Table4[[#This Row],[total_followers]]/(Table4[[#This Row],[total_time_streamed]] / 60)</f>
        <v>164900.66225165562</v>
      </c>
      <c r="S794" t="str">
        <f>IF(Table4[[#This Row],[avg_games_per_stream]] &gt; 2, "Variety", "Focused")</f>
        <v>Focused</v>
      </c>
      <c r="T794" s="4">
        <f>Table4[[#This Row],[avg_viewers_per_stream]] / Table4[[#This Row],[total_followers]]</f>
        <v>2.2257831325301205E-2</v>
      </c>
    </row>
    <row r="795" spans="1:20">
      <c r="A795">
        <v>795</v>
      </c>
      <c r="B795" t="s">
        <v>1036</v>
      </c>
      <c r="C795" t="s">
        <v>3</v>
      </c>
      <c r="D795" t="s">
        <v>39</v>
      </c>
      <c r="E795" t="s">
        <v>54</v>
      </c>
      <c r="F795" t="s">
        <v>56</v>
      </c>
      <c r="G795" s="3">
        <v>3.9</v>
      </c>
      <c r="H795">
        <v>2620</v>
      </c>
      <c r="I795">
        <v>8930</v>
      </c>
      <c r="J795">
        <v>1.1000000000000001</v>
      </c>
      <c r="K795">
        <v>2962</v>
      </c>
      <c r="L795" s="2">
        <v>191000</v>
      </c>
      <c r="M795" s="2">
        <v>652000</v>
      </c>
      <c r="N795">
        <v>27</v>
      </c>
      <c r="O795">
        <v>2.6</v>
      </c>
      <c r="P795" t="s">
        <v>14</v>
      </c>
      <c r="Q795" t="s">
        <v>17</v>
      </c>
      <c r="R795" s="2">
        <f>Table4[[#This Row],[total_followers]]/(Table4[[#This Row],[total_time_streamed]] / 60)</f>
        <v>3869.0074274139097</v>
      </c>
      <c r="S795" t="str">
        <f>IF(Table4[[#This Row],[avg_games_per_stream]] &gt; 2, "Variety", "Focused")</f>
        <v>Focused</v>
      </c>
      <c r="T795" s="4">
        <f>Table4[[#This Row],[avg_viewers_per_stream]] / Table4[[#This Row],[total_followers]]</f>
        <v>4.6753926701570678E-2</v>
      </c>
    </row>
    <row r="796" spans="1:20">
      <c r="A796">
        <v>796</v>
      </c>
      <c r="B796" t="s">
        <v>1037</v>
      </c>
      <c r="C796" t="s">
        <v>3</v>
      </c>
      <c r="D796" t="s">
        <v>39</v>
      </c>
      <c r="E796" t="s">
        <v>592</v>
      </c>
      <c r="F796" t="s">
        <v>41</v>
      </c>
      <c r="G796" s="3">
        <v>6.5</v>
      </c>
      <c r="H796">
        <v>2220</v>
      </c>
      <c r="I796">
        <v>0</v>
      </c>
      <c r="J796">
        <v>1.6</v>
      </c>
      <c r="K796">
        <v>1727</v>
      </c>
      <c r="L796" s="2">
        <v>61600</v>
      </c>
      <c r="M796" s="2">
        <v>2</v>
      </c>
      <c r="N796">
        <v>30</v>
      </c>
      <c r="O796">
        <v>3.5</v>
      </c>
      <c r="P796" t="s">
        <v>14</v>
      </c>
      <c r="Q796" t="s">
        <v>15</v>
      </c>
      <c r="R796" s="2">
        <f>Table4[[#This Row],[total_followers]]/(Table4[[#This Row],[total_time_streamed]] / 60)</f>
        <v>2140.1273885350315</v>
      </c>
      <c r="S796" t="str">
        <f>IF(Table4[[#This Row],[avg_games_per_stream]] &gt; 2, "Variety", "Focused")</f>
        <v>Focused</v>
      </c>
      <c r="T796" s="4">
        <f>Table4[[#This Row],[avg_viewers_per_stream]] / Table4[[#This Row],[total_followers]]</f>
        <v>0</v>
      </c>
    </row>
    <row r="797" spans="1:20">
      <c r="A797">
        <v>797</v>
      </c>
      <c r="B797" t="s">
        <v>1038</v>
      </c>
      <c r="C797" t="s">
        <v>6</v>
      </c>
      <c r="D797" t="s">
        <v>39</v>
      </c>
      <c r="E797" t="s">
        <v>54</v>
      </c>
      <c r="F797" t="s">
        <v>40</v>
      </c>
      <c r="G797" s="3">
        <v>5.3</v>
      </c>
      <c r="H797">
        <v>6770</v>
      </c>
      <c r="I797">
        <v>9941</v>
      </c>
      <c r="J797">
        <v>1.4</v>
      </c>
      <c r="K797">
        <v>4441</v>
      </c>
      <c r="L797" s="2">
        <v>505000</v>
      </c>
      <c r="M797" s="2">
        <v>7410000</v>
      </c>
      <c r="N797">
        <v>20</v>
      </c>
      <c r="O797">
        <v>3.9</v>
      </c>
      <c r="P797" t="s">
        <v>19</v>
      </c>
      <c r="Q797" t="s">
        <v>14</v>
      </c>
      <c r="R797" s="2">
        <f>Table4[[#This Row],[total_followers]]/(Table4[[#This Row],[total_time_streamed]] / 60)</f>
        <v>6822.7876604368385</v>
      </c>
      <c r="S797" t="str">
        <f>IF(Table4[[#This Row],[avg_games_per_stream]] &gt; 2, "Variety", "Focused")</f>
        <v>Focused</v>
      </c>
      <c r="T797" s="4">
        <f>Table4[[#This Row],[avg_viewers_per_stream]] / Table4[[#This Row],[total_followers]]</f>
        <v>1.9685148514851484E-2</v>
      </c>
    </row>
    <row r="798" spans="1:20">
      <c r="A798">
        <v>798</v>
      </c>
      <c r="B798" t="s">
        <v>1039</v>
      </c>
      <c r="C798" t="s">
        <v>3</v>
      </c>
      <c r="D798" t="s">
        <v>39</v>
      </c>
      <c r="E798" t="s">
        <v>40</v>
      </c>
      <c r="F798" t="s">
        <v>1040</v>
      </c>
      <c r="G798" s="3">
        <v>3.8</v>
      </c>
      <c r="H798">
        <v>2880</v>
      </c>
      <c r="I798">
        <v>4031</v>
      </c>
      <c r="J798">
        <v>1.7</v>
      </c>
      <c r="K798">
        <v>4236</v>
      </c>
      <c r="L798" s="2">
        <v>337000</v>
      </c>
      <c r="M798" s="2">
        <v>4700000</v>
      </c>
      <c r="N798">
        <v>219</v>
      </c>
      <c r="O798">
        <v>2.9</v>
      </c>
      <c r="P798" t="s">
        <v>19</v>
      </c>
      <c r="Q798" t="s">
        <v>14</v>
      </c>
      <c r="R798" s="2">
        <f>Table4[[#This Row],[total_followers]]/(Table4[[#This Row],[total_time_streamed]] / 60)</f>
        <v>4773.3711048158648</v>
      </c>
      <c r="S798" t="str">
        <f>IF(Table4[[#This Row],[avg_games_per_stream]] &gt; 2, "Variety", "Focused")</f>
        <v>Focused</v>
      </c>
      <c r="T798" s="4">
        <f>Table4[[#This Row],[avg_viewers_per_stream]] / Table4[[#This Row],[total_followers]]</f>
        <v>1.1961424332344213E-2</v>
      </c>
    </row>
    <row r="799" spans="1:20">
      <c r="A799">
        <v>799</v>
      </c>
      <c r="B799" t="s">
        <v>1041</v>
      </c>
      <c r="C799" t="s">
        <v>3</v>
      </c>
      <c r="D799" t="s">
        <v>39</v>
      </c>
      <c r="E799" t="s">
        <v>64</v>
      </c>
      <c r="G799" s="3">
        <v>4</v>
      </c>
      <c r="H799">
        <v>2834</v>
      </c>
      <c r="I799">
        <v>7685</v>
      </c>
      <c r="J799">
        <v>1</v>
      </c>
      <c r="K799">
        <v>800</v>
      </c>
      <c r="L799" s="2">
        <v>54000</v>
      </c>
      <c r="M799" s="2">
        <v>147000</v>
      </c>
      <c r="N799">
        <v>1</v>
      </c>
      <c r="O799">
        <v>0.1</v>
      </c>
      <c r="P799" t="s">
        <v>15</v>
      </c>
      <c r="Q799" t="s">
        <v>17</v>
      </c>
      <c r="R799" s="2">
        <f>Table4[[#This Row],[total_followers]]/(Table4[[#This Row],[total_time_streamed]] / 60)</f>
        <v>4050</v>
      </c>
      <c r="S799" t="str">
        <f>IF(Table4[[#This Row],[avg_games_per_stream]] &gt; 2, "Variety", "Focused")</f>
        <v>Focused</v>
      </c>
      <c r="T799" s="4">
        <f>Table4[[#This Row],[avg_viewers_per_stream]] / Table4[[#This Row],[total_followers]]</f>
        <v>0.14231481481481481</v>
      </c>
    </row>
    <row r="800" spans="1:20">
      <c r="A800">
        <v>800</v>
      </c>
      <c r="B800" t="s">
        <v>1042</v>
      </c>
      <c r="C800" t="s">
        <v>7</v>
      </c>
      <c r="D800" t="s">
        <v>39</v>
      </c>
      <c r="E800" t="s">
        <v>145</v>
      </c>
      <c r="F800" t="s">
        <v>193</v>
      </c>
      <c r="G800" s="3">
        <v>4.0999999999999996</v>
      </c>
      <c r="H800">
        <v>1430</v>
      </c>
      <c r="I800">
        <v>5580</v>
      </c>
      <c r="J800">
        <v>1.2</v>
      </c>
      <c r="K800">
        <v>536</v>
      </c>
      <c r="L800" s="2">
        <v>186000</v>
      </c>
      <c r="M800" s="2">
        <v>724000</v>
      </c>
      <c r="N800">
        <v>51</v>
      </c>
      <c r="O800">
        <v>5.2</v>
      </c>
      <c r="P800" t="s">
        <v>19</v>
      </c>
      <c r="Q800" t="s">
        <v>18</v>
      </c>
      <c r="R800" s="2">
        <f>Table4[[#This Row],[total_followers]]/(Table4[[#This Row],[total_time_streamed]] / 60)</f>
        <v>20820.895522388058</v>
      </c>
      <c r="S800" t="str">
        <f>IF(Table4[[#This Row],[avg_games_per_stream]] &gt; 2, "Variety", "Focused")</f>
        <v>Focused</v>
      </c>
      <c r="T800" s="4">
        <f>Table4[[#This Row],[avg_viewers_per_stream]] / Table4[[#This Row],[total_followers]]</f>
        <v>0.03</v>
      </c>
    </row>
    <row r="801" spans="1:20">
      <c r="A801">
        <v>801</v>
      </c>
      <c r="B801" t="s">
        <v>1043</v>
      </c>
      <c r="C801" t="s">
        <v>63</v>
      </c>
      <c r="D801" t="s">
        <v>39</v>
      </c>
      <c r="E801" t="s">
        <v>40</v>
      </c>
      <c r="F801" t="s">
        <v>109</v>
      </c>
      <c r="G801" s="3">
        <v>7.2</v>
      </c>
      <c r="H801">
        <v>450</v>
      </c>
      <c r="I801">
        <v>8714</v>
      </c>
      <c r="J801">
        <v>1.7</v>
      </c>
      <c r="K801">
        <v>1725</v>
      </c>
      <c r="L801" s="2">
        <v>124000</v>
      </c>
      <c r="M801" s="2">
        <v>21800000</v>
      </c>
      <c r="N801">
        <v>992</v>
      </c>
      <c r="O801">
        <v>6</v>
      </c>
      <c r="P801" t="s">
        <v>15</v>
      </c>
      <c r="Q801" t="s">
        <v>17</v>
      </c>
      <c r="R801" s="2">
        <f>Table4[[#This Row],[total_followers]]/(Table4[[#This Row],[total_time_streamed]] / 60)</f>
        <v>4313.04347826087</v>
      </c>
      <c r="S801" t="str">
        <f>IF(Table4[[#This Row],[avg_games_per_stream]] &gt; 2, "Variety", "Focused")</f>
        <v>Focused</v>
      </c>
      <c r="T801" s="4">
        <f>Table4[[#This Row],[avg_viewers_per_stream]] / Table4[[#This Row],[total_followers]]</f>
        <v>7.0274193548387098E-2</v>
      </c>
    </row>
    <row r="802" spans="1:20">
      <c r="A802">
        <v>802</v>
      </c>
      <c r="B802" t="s">
        <v>1044</v>
      </c>
      <c r="C802" t="s">
        <v>63</v>
      </c>
      <c r="D802" t="s">
        <v>39</v>
      </c>
      <c r="E802" t="s">
        <v>64</v>
      </c>
      <c r="F802" t="s">
        <v>56</v>
      </c>
      <c r="G802" s="3">
        <v>5</v>
      </c>
      <c r="H802">
        <v>2370</v>
      </c>
      <c r="I802">
        <v>15281</v>
      </c>
      <c r="J802">
        <v>1</v>
      </c>
      <c r="K802">
        <v>7831</v>
      </c>
      <c r="L802" s="2">
        <v>385000</v>
      </c>
      <c r="M802" s="2">
        <v>24800000</v>
      </c>
      <c r="N802">
        <v>8</v>
      </c>
      <c r="O802">
        <v>4.4000000000000004</v>
      </c>
      <c r="P802" t="s">
        <v>19</v>
      </c>
      <c r="Q802" t="s">
        <v>16</v>
      </c>
      <c r="R802" s="2">
        <f>Table4[[#This Row],[total_followers]]/(Table4[[#This Row],[total_time_streamed]] / 60)</f>
        <v>2949.8148384625206</v>
      </c>
      <c r="S802" t="str">
        <f>IF(Table4[[#This Row],[avg_games_per_stream]] &gt; 2, "Variety", "Focused")</f>
        <v>Focused</v>
      </c>
      <c r="T802" s="4">
        <f>Table4[[#This Row],[avg_viewers_per_stream]] / Table4[[#This Row],[total_followers]]</f>
        <v>3.9690909090909089E-2</v>
      </c>
    </row>
    <row r="803" spans="1:20">
      <c r="A803">
        <v>803</v>
      </c>
      <c r="B803" t="s">
        <v>1045</v>
      </c>
      <c r="C803" t="s">
        <v>3</v>
      </c>
      <c r="D803" t="s">
        <v>39</v>
      </c>
      <c r="E803" t="s">
        <v>88</v>
      </c>
      <c r="F803" t="s">
        <v>233</v>
      </c>
      <c r="G803" s="3">
        <v>6.3</v>
      </c>
      <c r="H803">
        <v>1410</v>
      </c>
      <c r="I803">
        <v>1621</v>
      </c>
      <c r="J803">
        <v>1.1000000000000001</v>
      </c>
      <c r="K803">
        <v>8506</v>
      </c>
      <c r="L803" s="2">
        <v>185000</v>
      </c>
      <c r="M803" s="2">
        <v>2140000</v>
      </c>
      <c r="N803">
        <v>57</v>
      </c>
      <c r="O803">
        <v>4.3</v>
      </c>
      <c r="P803" t="s">
        <v>17</v>
      </c>
      <c r="Q803" t="s">
        <v>15</v>
      </c>
      <c r="R803" s="2">
        <f>Table4[[#This Row],[total_followers]]/(Table4[[#This Row],[total_time_streamed]] / 60)</f>
        <v>1304.9612038561015</v>
      </c>
      <c r="S803" t="str">
        <f>IF(Table4[[#This Row],[avg_games_per_stream]] &gt; 2, "Variety", "Focused")</f>
        <v>Focused</v>
      </c>
      <c r="T803" s="4">
        <f>Table4[[#This Row],[avg_viewers_per_stream]] / Table4[[#This Row],[total_followers]]</f>
        <v>8.7621621621621626E-3</v>
      </c>
    </row>
    <row r="804" spans="1:20">
      <c r="A804">
        <v>804</v>
      </c>
      <c r="B804" t="s">
        <v>1046</v>
      </c>
      <c r="C804" t="s">
        <v>160</v>
      </c>
      <c r="D804" t="s">
        <v>39</v>
      </c>
      <c r="E804" t="s">
        <v>40</v>
      </c>
      <c r="F804" t="s">
        <v>66</v>
      </c>
      <c r="G804" s="3">
        <v>5.0999999999999996</v>
      </c>
      <c r="H804">
        <v>1073</v>
      </c>
      <c r="I804">
        <v>2988</v>
      </c>
      <c r="J804">
        <v>2.5</v>
      </c>
      <c r="K804">
        <v>2562</v>
      </c>
      <c r="L804" s="2">
        <v>498000</v>
      </c>
      <c r="M804" s="2">
        <v>1390000</v>
      </c>
      <c r="N804">
        <v>114</v>
      </c>
      <c r="O804">
        <v>3.6</v>
      </c>
      <c r="P804" t="s">
        <v>16</v>
      </c>
      <c r="Q804" t="s">
        <v>14</v>
      </c>
      <c r="R804" s="2">
        <f>Table4[[#This Row],[total_followers]]/(Table4[[#This Row],[total_time_streamed]] / 60)</f>
        <v>11662.763466042154</v>
      </c>
      <c r="S804" t="str">
        <f>IF(Table4[[#This Row],[avg_games_per_stream]] &gt; 2, "Variety", "Focused")</f>
        <v>Variety</v>
      </c>
      <c r="T804" s="4">
        <f>Table4[[#This Row],[avg_viewers_per_stream]] / Table4[[#This Row],[total_followers]]</f>
        <v>6.0000000000000001E-3</v>
      </c>
    </row>
    <row r="805" spans="1:20">
      <c r="A805">
        <v>805</v>
      </c>
      <c r="B805" t="s">
        <v>1047</v>
      </c>
      <c r="C805" t="s">
        <v>4</v>
      </c>
      <c r="D805" t="s">
        <v>39</v>
      </c>
      <c r="E805" t="s">
        <v>40</v>
      </c>
      <c r="F805" t="s">
        <v>150</v>
      </c>
      <c r="G805" s="3">
        <v>4.0999999999999996</v>
      </c>
      <c r="H805">
        <v>6360</v>
      </c>
      <c r="I805">
        <v>17806</v>
      </c>
      <c r="J805">
        <v>2</v>
      </c>
      <c r="K805">
        <v>5782</v>
      </c>
      <c r="L805" s="2">
        <v>920000</v>
      </c>
      <c r="M805" s="2">
        <v>25800000</v>
      </c>
      <c r="N805">
        <v>473</v>
      </c>
      <c r="O805">
        <v>3.7</v>
      </c>
      <c r="P805" t="s">
        <v>18</v>
      </c>
      <c r="Q805" t="s">
        <v>14</v>
      </c>
      <c r="R805" s="2">
        <f>Table4[[#This Row],[total_followers]]/(Table4[[#This Row],[total_time_streamed]] / 60)</f>
        <v>9546.869595295746</v>
      </c>
      <c r="S805" t="str">
        <f>IF(Table4[[#This Row],[avg_games_per_stream]] &gt; 2, "Variety", "Focused")</f>
        <v>Focused</v>
      </c>
      <c r="T805" s="4">
        <f>Table4[[#This Row],[avg_viewers_per_stream]] / Table4[[#This Row],[total_followers]]</f>
        <v>1.9354347826086957E-2</v>
      </c>
    </row>
    <row r="806" spans="1:20">
      <c r="A806">
        <v>806</v>
      </c>
      <c r="B806" t="s">
        <v>1048</v>
      </c>
      <c r="C806" t="s">
        <v>7</v>
      </c>
      <c r="D806" t="s">
        <v>39</v>
      </c>
      <c r="E806" t="s">
        <v>98</v>
      </c>
      <c r="F806" t="s">
        <v>74</v>
      </c>
      <c r="G806" s="3">
        <v>3.8</v>
      </c>
      <c r="H806">
        <v>950</v>
      </c>
      <c r="I806">
        <v>3290</v>
      </c>
      <c r="J806">
        <v>1.3</v>
      </c>
      <c r="K806">
        <v>4614</v>
      </c>
      <c r="L806" s="2">
        <v>128000</v>
      </c>
      <c r="M806" s="2">
        <v>441000</v>
      </c>
      <c r="N806">
        <v>70</v>
      </c>
      <c r="O806">
        <v>3.6</v>
      </c>
      <c r="P806" t="s">
        <v>18</v>
      </c>
      <c r="Q806" t="s">
        <v>19</v>
      </c>
      <c r="R806" s="2">
        <f>Table4[[#This Row],[total_followers]]/(Table4[[#This Row],[total_time_streamed]] / 60)</f>
        <v>1664.4993498049414</v>
      </c>
      <c r="S806" t="str">
        <f>IF(Table4[[#This Row],[avg_games_per_stream]] &gt; 2, "Variety", "Focused")</f>
        <v>Focused</v>
      </c>
      <c r="T806" s="4">
        <f>Table4[[#This Row],[avg_viewers_per_stream]] / Table4[[#This Row],[total_followers]]</f>
        <v>2.5703125E-2</v>
      </c>
    </row>
    <row r="807" spans="1:20">
      <c r="A807">
        <v>807</v>
      </c>
      <c r="B807" t="s">
        <v>1049</v>
      </c>
      <c r="C807" t="s">
        <v>3</v>
      </c>
      <c r="D807" t="s">
        <v>39</v>
      </c>
      <c r="E807" t="s">
        <v>189</v>
      </c>
      <c r="F807" t="s">
        <v>799</v>
      </c>
      <c r="G807" s="3">
        <v>3.8</v>
      </c>
      <c r="H807">
        <v>930</v>
      </c>
      <c r="I807">
        <v>1137</v>
      </c>
      <c r="J807">
        <v>1.1000000000000001</v>
      </c>
      <c r="K807">
        <v>6053</v>
      </c>
      <c r="L807" s="2">
        <v>133000</v>
      </c>
      <c r="M807" s="2">
        <v>1630000</v>
      </c>
      <c r="N807">
        <v>62</v>
      </c>
      <c r="O807">
        <v>4.4000000000000004</v>
      </c>
      <c r="P807" t="s">
        <v>19</v>
      </c>
      <c r="Q807" t="s">
        <v>19</v>
      </c>
      <c r="R807" s="2">
        <f>Table4[[#This Row],[total_followers]]/(Table4[[#This Row],[total_time_streamed]] / 60)</f>
        <v>1318.3545349413514</v>
      </c>
      <c r="S807" t="str">
        <f>IF(Table4[[#This Row],[avg_games_per_stream]] &gt; 2, "Variety", "Focused")</f>
        <v>Focused</v>
      </c>
      <c r="T807" s="4">
        <f>Table4[[#This Row],[avg_viewers_per_stream]] / Table4[[#This Row],[total_followers]]</f>
        <v>8.548872180451127E-3</v>
      </c>
    </row>
    <row r="808" spans="1:20">
      <c r="A808">
        <v>808</v>
      </c>
      <c r="B808" t="s">
        <v>1050</v>
      </c>
      <c r="C808" t="s">
        <v>63</v>
      </c>
      <c r="D808" t="s">
        <v>39</v>
      </c>
      <c r="E808" t="s">
        <v>109</v>
      </c>
      <c r="F808" t="s">
        <v>1051</v>
      </c>
      <c r="G808" s="3">
        <v>6.9</v>
      </c>
      <c r="H808">
        <v>880</v>
      </c>
      <c r="I808">
        <v>12625</v>
      </c>
      <c r="J808">
        <v>1.4</v>
      </c>
      <c r="K808">
        <v>10887</v>
      </c>
      <c r="L808" s="2">
        <v>141000</v>
      </c>
      <c r="M808" s="2">
        <v>20100000</v>
      </c>
      <c r="N808">
        <v>144</v>
      </c>
      <c r="O808">
        <v>4.8</v>
      </c>
      <c r="P808" t="s">
        <v>18</v>
      </c>
      <c r="Q808" t="s">
        <v>17</v>
      </c>
      <c r="R808" s="2">
        <f>Table4[[#This Row],[total_followers]]/(Table4[[#This Row],[total_time_streamed]] / 60)</f>
        <v>777.07357398732438</v>
      </c>
      <c r="S808" t="str">
        <f>IF(Table4[[#This Row],[avg_games_per_stream]] &gt; 2, "Variety", "Focused")</f>
        <v>Focused</v>
      </c>
      <c r="T808" s="4">
        <f>Table4[[#This Row],[avg_viewers_per_stream]] / Table4[[#This Row],[total_followers]]</f>
        <v>8.9539007092198586E-2</v>
      </c>
    </row>
    <row r="809" spans="1:20">
      <c r="A809">
        <v>809</v>
      </c>
      <c r="B809" t="s">
        <v>1052</v>
      </c>
      <c r="C809" t="s">
        <v>7</v>
      </c>
      <c r="D809" t="s">
        <v>39</v>
      </c>
      <c r="E809" t="s">
        <v>46</v>
      </c>
      <c r="F809" t="s">
        <v>40</v>
      </c>
      <c r="G809" s="3">
        <v>4.5</v>
      </c>
      <c r="H809">
        <v>2450</v>
      </c>
      <c r="I809">
        <v>11013</v>
      </c>
      <c r="J809">
        <v>1.9</v>
      </c>
      <c r="K809">
        <v>9635</v>
      </c>
      <c r="L809" s="2">
        <v>562000</v>
      </c>
      <c r="M809" s="2">
        <v>25000000</v>
      </c>
      <c r="N809">
        <v>243</v>
      </c>
      <c r="O809">
        <v>5.5</v>
      </c>
      <c r="P809" t="s">
        <v>17</v>
      </c>
      <c r="Q809" t="s">
        <v>19</v>
      </c>
      <c r="R809" s="2">
        <f>Table4[[#This Row],[total_followers]]/(Table4[[#This Row],[total_time_streamed]] / 60)</f>
        <v>3499.7405293201864</v>
      </c>
      <c r="S809" t="str">
        <f>IF(Table4[[#This Row],[avg_games_per_stream]] &gt; 2, "Variety", "Focused")</f>
        <v>Focused</v>
      </c>
      <c r="T809" s="4">
        <f>Table4[[#This Row],[avg_viewers_per_stream]] / Table4[[#This Row],[total_followers]]</f>
        <v>1.9596085409252669E-2</v>
      </c>
    </row>
    <row r="810" spans="1:20">
      <c r="A810">
        <v>810</v>
      </c>
      <c r="B810" t="s">
        <v>1053</v>
      </c>
      <c r="C810" t="s">
        <v>5</v>
      </c>
      <c r="D810" t="s">
        <v>39</v>
      </c>
      <c r="E810" t="s">
        <v>66</v>
      </c>
      <c r="F810" t="s">
        <v>12</v>
      </c>
      <c r="G810" s="3">
        <v>6.5</v>
      </c>
      <c r="H810">
        <v>860</v>
      </c>
      <c r="I810">
        <v>50</v>
      </c>
      <c r="J810">
        <v>1</v>
      </c>
      <c r="K810">
        <v>2069</v>
      </c>
      <c r="L810" s="2">
        <v>30900</v>
      </c>
      <c r="M810" s="2">
        <v>1800</v>
      </c>
      <c r="N810">
        <v>19</v>
      </c>
      <c r="O810">
        <v>1.9</v>
      </c>
      <c r="P810" t="s">
        <v>15</v>
      </c>
      <c r="Q810" t="s">
        <v>17</v>
      </c>
      <c r="R810" s="2">
        <f>Table4[[#This Row],[total_followers]]/(Table4[[#This Row],[total_time_streamed]] / 60)</f>
        <v>896.08506524891254</v>
      </c>
      <c r="S810" t="str">
        <f>IF(Table4[[#This Row],[avg_games_per_stream]] &gt; 2, "Variety", "Focused")</f>
        <v>Focused</v>
      </c>
      <c r="T810" s="4">
        <f>Table4[[#This Row],[avg_viewers_per_stream]] / Table4[[#This Row],[total_followers]]</f>
        <v>1.6181229773462784E-3</v>
      </c>
    </row>
    <row r="811" spans="1:20">
      <c r="A811">
        <v>811</v>
      </c>
      <c r="B811" t="s">
        <v>1054</v>
      </c>
      <c r="C811" t="s">
        <v>3</v>
      </c>
      <c r="D811" t="s">
        <v>39</v>
      </c>
      <c r="E811" t="s">
        <v>12</v>
      </c>
      <c r="G811" s="3">
        <v>2.2999999999999998</v>
      </c>
      <c r="H811">
        <v>1130</v>
      </c>
      <c r="I811">
        <v>0</v>
      </c>
      <c r="J811">
        <v>1</v>
      </c>
      <c r="K811">
        <v>70</v>
      </c>
      <c r="L811" s="2">
        <v>226</v>
      </c>
      <c r="M811" s="2">
        <v>0</v>
      </c>
      <c r="N811">
        <v>1</v>
      </c>
      <c r="O811">
        <v>0.5</v>
      </c>
      <c r="P811" t="s">
        <v>16</v>
      </c>
      <c r="Q811" t="s">
        <v>17</v>
      </c>
      <c r="R811" s="2">
        <f>Table4[[#This Row],[total_followers]]/(Table4[[#This Row],[total_time_streamed]] / 60)</f>
        <v>193.71428571428569</v>
      </c>
      <c r="S811" t="str">
        <f>IF(Table4[[#This Row],[avg_games_per_stream]] &gt; 2, "Variety", "Focused")</f>
        <v>Focused</v>
      </c>
      <c r="T811" s="4">
        <f>Table4[[#This Row],[avg_viewers_per_stream]] / Table4[[#This Row],[total_followers]]</f>
        <v>0</v>
      </c>
    </row>
    <row r="812" spans="1:20">
      <c r="A812">
        <v>812</v>
      </c>
      <c r="B812" t="s">
        <v>1055</v>
      </c>
      <c r="C812" t="s">
        <v>2</v>
      </c>
      <c r="D812" t="s">
        <v>39</v>
      </c>
      <c r="E812" t="s">
        <v>68</v>
      </c>
      <c r="F812" t="s">
        <v>40</v>
      </c>
      <c r="G812" s="3">
        <v>6.8</v>
      </c>
      <c r="H812">
        <v>1750</v>
      </c>
      <c r="I812">
        <v>9455</v>
      </c>
      <c r="J812">
        <v>1.3</v>
      </c>
      <c r="K812">
        <v>818</v>
      </c>
      <c r="L812" s="2">
        <v>249000</v>
      </c>
      <c r="M812" s="2">
        <v>13400000</v>
      </c>
      <c r="N812">
        <v>104</v>
      </c>
      <c r="O812">
        <v>3.4</v>
      </c>
      <c r="P812" t="s">
        <v>15</v>
      </c>
      <c r="Q812" t="s">
        <v>14</v>
      </c>
      <c r="R812" s="2">
        <f>Table4[[#This Row],[total_followers]]/(Table4[[#This Row],[total_time_streamed]] / 60)</f>
        <v>18264.058679706603</v>
      </c>
      <c r="S812" t="str">
        <f>IF(Table4[[#This Row],[avg_games_per_stream]] &gt; 2, "Variety", "Focused")</f>
        <v>Focused</v>
      </c>
      <c r="T812" s="4">
        <f>Table4[[#This Row],[avg_viewers_per_stream]] / Table4[[#This Row],[total_followers]]</f>
        <v>3.7971887550200804E-2</v>
      </c>
    </row>
    <row r="813" spans="1:20">
      <c r="A813">
        <v>813</v>
      </c>
      <c r="B813" t="s">
        <v>1056</v>
      </c>
      <c r="C813" t="s">
        <v>3</v>
      </c>
      <c r="D813" t="s">
        <v>39</v>
      </c>
      <c r="E813" t="s">
        <v>85</v>
      </c>
      <c r="F813" t="s">
        <v>40</v>
      </c>
      <c r="G813" s="3">
        <v>1.5</v>
      </c>
      <c r="H813">
        <v>7020</v>
      </c>
      <c r="I813">
        <v>270</v>
      </c>
      <c r="J813">
        <v>1</v>
      </c>
      <c r="K813">
        <v>370</v>
      </c>
      <c r="L813" s="2">
        <v>21100</v>
      </c>
      <c r="M813" s="2">
        <v>847</v>
      </c>
      <c r="N813">
        <v>9</v>
      </c>
      <c r="O813">
        <v>0.1</v>
      </c>
      <c r="P813" t="s">
        <v>14</v>
      </c>
      <c r="Q813" t="s">
        <v>17</v>
      </c>
      <c r="R813" s="2">
        <f>Table4[[#This Row],[total_followers]]/(Table4[[#This Row],[total_time_streamed]] / 60)</f>
        <v>3421.6216216216217</v>
      </c>
      <c r="S813" t="str">
        <f>IF(Table4[[#This Row],[avg_games_per_stream]] &gt; 2, "Variety", "Focused")</f>
        <v>Focused</v>
      </c>
      <c r="T813" s="4">
        <f>Table4[[#This Row],[avg_viewers_per_stream]] / Table4[[#This Row],[total_followers]]</f>
        <v>1.2796208530805687E-2</v>
      </c>
    </row>
    <row r="814" spans="1:20">
      <c r="A814">
        <v>814</v>
      </c>
      <c r="B814" t="s">
        <v>1057</v>
      </c>
      <c r="C814" t="s">
        <v>3</v>
      </c>
      <c r="D814" t="s">
        <v>39</v>
      </c>
      <c r="E814" t="s">
        <v>639</v>
      </c>
      <c r="F814" t="s">
        <v>638</v>
      </c>
      <c r="G814" s="3">
        <v>7.3</v>
      </c>
      <c r="H814">
        <v>980</v>
      </c>
      <c r="I814">
        <v>766</v>
      </c>
      <c r="J814">
        <v>1.2</v>
      </c>
      <c r="K814">
        <v>12331</v>
      </c>
      <c r="L814" s="2">
        <v>204000</v>
      </c>
      <c r="M814" s="2">
        <v>14800000</v>
      </c>
      <c r="N814">
        <v>122</v>
      </c>
      <c r="O814">
        <v>4.3</v>
      </c>
      <c r="P814" t="s">
        <v>15</v>
      </c>
      <c r="Q814" t="s">
        <v>16</v>
      </c>
      <c r="R814" s="2">
        <f>Table4[[#This Row],[total_followers]]/(Table4[[#This Row],[total_time_streamed]] / 60)</f>
        <v>992.62022544805768</v>
      </c>
      <c r="S814" t="str">
        <f>IF(Table4[[#This Row],[avg_games_per_stream]] &gt; 2, "Variety", "Focused")</f>
        <v>Focused</v>
      </c>
      <c r="T814" s="4">
        <f>Table4[[#This Row],[avg_viewers_per_stream]] / Table4[[#This Row],[total_followers]]</f>
        <v>3.7549019607843138E-3</v>
      </c>
    </row>
    <row r="815" spans="1:20">
      <c r="A815">
        <v>815</v>
      </c>
      <c r="B815" t="s">
        <v>1058</v>
      </c>
      <c r="C815" t="s">
        <v>6</v>
      </c>
      <c r="D815" t="s">
        <v>39</v>
      </c>
      <c r="E815" t="s">
        <v>156</v>
      </c>
      <c r="F815" t="s">
        <v>145</v>
      </c>
      <c r="G815" s="3">
        <v>4.3</v>
      </c>
      <c r="H815">
        <v>1120</v>
      </c>
      <c r="I815">
        <v>3090</v>
      </c>
      <c r="J815">
        <v>1</v>
      </c>
      <c r="K815">
        <v>5089</v>
      </c>
      <c r="L815" s="2">
        <v>131000</v>
      </c>
      <c r="M815" s="2">
        <v>361000</v>
      </c>
      <c r="N815">
        <v>10</v>
      </c>
      <c r="O815">
        <v>5.7</v>
      </c>
      <c r="P815" t="s">
        <v>18</v>
      </c>
      <c r="Q815" t="s">
        <v>15</v>
      </c>
      <c r="R815" s="2">
        <f>Table4[[#This Row],[total_followers]]/(Table4[[#This Row],[total_time_streamed]] / 60)</f>
        <v>1544.5077618392613</v>
      </c>
      <c r="S815" t="str">
        <f>IF(Table4[[#This Row],[avg_games_per_stream]] &gt; 2, "Variety", "Focused")</f>
        <v>Focused</v>
      </c>
      <c r="T815" s="4">
        <f>Table4[[#This Row],[avg_viewers_per_stream]] / Table4[[#This Row],[total_followers]]</f>
        <v>2.3587786259541985E-2</v>
      </c>
    </row>
    <row r="816" spans="1:20">
      <c r="A816">
        <v>816</v>
      </c>
      <c r="B816" t="s">
        <v>1059</v>
      </c>
      <c r="C816" t="s">
        <v>3</v>
      </c>
      <c r="D816" t="s">
        <v>39</v>
      </c>
      <c r="E816" t="s">
        <v>40</v>
      </c>
      <c r="F816" t="s">
        <v>41</v>
      </c>
      <c r="G816" s="3">
        <v>3.4</v>
      </c>
      <c r="H816">
        <v>8320</v>
      </c>
      <c r="I816">
        <v>1129</v>
      </c>
      <c r="J816">
        <v>1.5</v>
      </c>
      <c r="K816">
        <v>1593</v>
      </c>
      <c r="L816" s="2">
        <v>325000</v>
      </c>
      <c r="M816" s="2">
        <v>441000</v>
      </c>
      <c r="N816">
        <v>105</v>
      </c>
      <c r="O816">
        <v>2.8</v>
      </c>
      <c r="P816" t="s">
        <v>15</v>
      </c>
      <c r="Q816" t="s">
        <v>17</v>
      </c>
      <c r="R816" s="2">
        <f>Table4[[#This Row],[total_followers]]/(Table4[[#This Row],[total_time_streamed]] / 60)</f>
        <v>12241.05461393597</v>
      </c>
      <c r="S816" t="str">
        <f>IF(Table4[[#This Row],[avg_games_per_stream]] &gt; 2, "Variety", "Focused")</f>
        <v>Focused</v>
      </c>
      <c r="T816" s="4">
        <f>Table4[[#This Row],[avg_viewers_per_stream]] / Table4[[#This Row],[total_followers]]</f>
        <v>3.4738461538461538E-3</v>
      </c>
    </row>
    <row r="817" spans="1:20">
      <c r="A817">
        <v>817</v>
      </c>
      <c r="B817" t="s">
        <v>1060</v>
      </c>
      <c r="C817" t="s">
        <v>7</v>
      </c>
      <c r="D817" t="s">
        <v>39</v>
      </c>
      <c r="E817" t="s">
        <v>54</v>
      </c>
      <c r="F817" t="s">
        <v>56</v>
      </c>
      <c r="G817" s="3">
        <v>5.8</v>
      </c>
      <c r="H817">
        <v>2920</v>
      </c>
      <c r="I817">
        <v>431</v>
      </c>
      <c r="J817">
        <v>1.1000000000000001</v>
      </c>
      <c r="K817">
        <v>7109</v>
      </c>
      <c r="L817" s="2">
        <v>379000</v>
      </c>
      <c r="M817" s="2">
        <v>5590000</v>
      </c>
      <c r="N817">
        <v>26</v>
      </c>
      <c r="O817">
        <v>5.5</v>
      </c>
      <c r="P817" t="s">
        <v>19</v>
      </c>
      <c r="Q817" t="s">
        <v>15</v>
      </c>
      <c r="R817" s="2">
        <f>Table4[[#This Row],[total_followers]]/(Table4[[#This Row],[total_time_streamed]] / 60)</f>
        <v>3198.7621325080881</v>
      </c>
      <c r="S817" t="str">
        <f>IF(Table4[[#This Row],[avg_games_per_stream]] &gt; 2, "Variety", "Focused")</f>
        <v>Focused</v>
      </c>
      <c r="T817" s="4">
        <f>Table4[[#This Row],[avg_viewers_per_stream]] / Table4[[#This Row],[total_followers]]</f>
        <v>1.1372031662269129E-3</v>
      </c>
    </row>
    <row r="818" spans="1:20">
      <c r="A818">
        <v>818</v>
      </c>
      <c r="B818" t="s">
        <v>1061</v>
      </c>
      <c r="C818" t="s">
        <v>3</v>
      </c>
      <c r="D818" t="s">
        <v>39</v>
      </c>
      <c r="E818" t="s">
        <v>544</v>
      </c>
      <c r="F818" t="s">
        <v>51</v>
      </c>
      <c r="G818" s="3">
        <v>4.4000000000000004</v>
      </c>
      <c r="H818">
        <v>1740</v>
      </c>
      <c r="I818">
        <v>4778</v>
      </c>
      <c r="J818">
        <v>1.6</v>
      </c>
      <c r="K818">
        <v>7224</v>
      </c>
      <c r="L818" s="2">
        <v>309000</v>
      </c>
      <c r="M818" s="2">
        <v>8590000</v>
      </c>
      <c r="N818">
        <v>133</v>
      </c>
      <c r="O818">
        <v>4.2</v>
      </c>
      <c r="P818" t="s">
        <v>19</v>
      </c>
      <c r="Q818" t="s">
        <v>17</v>
      </c>
      <c r="R818" s="2">
        <f>Table4[[#This Row],[total_followers]]/(Table4[[#This Row],[total_time_streamed]] / 60)</f>
        <v>2566.4451827242524</v>
      </c>
      <c r="S818" t="str">
        <f>IF(Table4[[#This Row],[avg_games_per_stream]] &gt; 2, "Variety", "Focused")</f>
        <v>Focused</v>
      </c>
      <c r="T818" s="4">
        <f>Table4[[#This Row],[avg_viewers_per_stream]] / Table4[[#This Row],[total_followers]]</f>
        <v>1.5462783171521036E-2</v>
      </c>
    </row>
    <row r="819" spans="1:20">
      <c r="A819">
        <v>819</v>
      </c>
      <c r="B819" t="s">
        <v>1062</v>
      </c>
      <c r="C819" t="s">
        <v>3</v>
      </c>
      <c r="D819" t="s">
        <v>39</v>
      </c>
      <c r="E819" t="s">
        <v>1063</v>
      </c>
      <c r="F819" t="s">
        <v>224</v>
      </c>
      <c r="G819" s="3">
        <v>5.0999999999999996</v>
      </c>
      <c r="H819">
        <v>1160</v>
      </c>
      <c r="I819">
        <v>7090</v>
      </c>
      <c r="J819">
        <v>1.3</v>
      </c>
      <c r="K819">
        <v>928</v>
      </c>
      <c r="L819" s="2">
        <v>191000</v>
      </c>
      <c r="M819" s="2">
        <v>1170000</v>
      </c>
      <c r="N819">
        <v>182</v>
      </c>
      <c r="O819">
        <v>5.4</v>
      </c>
      <c r="P819" t="s">
        <v>19</v>
      </c>
      <c r="Q819" t="s">
        <v>17</v>
      </c>
      <c r="R819" s="2">
        <f>Table4[[#This Row],[total_followers]]/(Table4[[#This Row],[total_time_streamed]] / 60)</f>
        <v>12349.137931034482</v>
      </c>
      <c r="S819" t="str">
        <f>IF(Table4[[#This Row],[avg_games_per_stream]] &gt; 2, "Variety", "Focused")</f>
        <v>Focused</v>
      </c>
      <c r="T819" s="4">
        <f>Table4[[#This Row],[avg_viewers_per_stream]] / Table4[[#This Row],[total_followers]]</f>
        <v>3.7120418848167538E-2</v>
      </c>
    </row>
    <row r="820" spans="1:20">
      <c r="A820">
        <v>820</v>
      </c>
      <c r="B820" t="s">
        <v>1064</v>
      </c>
      <c r="C820" t="s">
        <v>5</v>
      </c>
      <c r="D820" t="s">
        <v>39</v>
      </c>
      <c r="E820" t="s">
        <v>96</v>
      </c>
      <c r="F820" t="s">
        <v>54</v>
      </c>
      <c r="G820" s="3">
        <v>4.0999999999999996</v>
      </c>
      <c r="H820">
        <v>2260</v>
      </c>
      <c r="I820">
        <v>3340</v>
      </c>
      <c r="J820">
        <v>1.4</v>
      </c>
      <c r="K820">
        <v>2812</v>
      </c>
      <c r="L820" s="2">
        <v>165000</v>
      </c>
      <c r="M820" s="2">
        <v>244000</v>
      </c>
      <c r="N820">
        <v>105</v>
      </c>
      <c r="O820">
        <v>5.0999999999999996</v>
      </c>
      <c r="P820" t="s">
        <v>18</v>
      </c>
      <c r="Q820" t="s">
        <v>14</v>
      </c>
      <c r="R820" s="2">
        <f>Table4[[#This Row],[total_followers]]/(Table4[[#This Row],[total_time_streamed]] / 60)</f>
        <v>3520.6258890469417</v>
      </c>
      <c r="S820" t="str">
        <f>IF(Table4[[#This Row],[avg_games_per_stream]] &gt; 2, "Variety", "Focused")</f>
        <v>Focused</v>
      </c>
      <c r="T820" s="4">
        <f>Table4[[#This Row],[avg_viewers_per_stream]] / Table4[[#This Row],[total_followers]]</f>
        <v>2.0242424242424242E-2</v>
      </c>
    </row>
    <row r="821" spans="1:20">
      <c r="A821">
        <v>821</v>
      </c>
      <c r="B821" t="s">
        <v>1065</v>
      </c>
      <c r="C821" t="s">
        <v>3</v>
      </c>
      <c r="D821" t="s">
        <v>39</v>
      </c>
      <c r="E821" t="s">
        <v>46</v>
      </c>
      <c r="F821" t="s">
        <v>1066</v>
      </c>
      <c r="G821" s="3">
        <v>5.3</v>
      </c>
      <c r="H821">
        <v>4110</v>
      </c>
      <c r="I821">
        <v>16747</v>
      </c>
      <c r="J821">
        <v>1.1000000000000001</v>
      </c>
      <c r="K821">
        <v>8834</v>
      </c>
      <c r="L821" s="2">
        <v>603000</v>
      </c>
      <c r="M821" s="2">
        <v>24400000</v>
      </c>
      <c r="N821">
        <v>51</v>
      </c>
      <c r="O821">
        <v>4.2</v>
      </c>
      <c r="P821" t="s">
        <v>19</v>
      </c>
      <c r="Q821" t="s">
        <v>18</v>
      </c>
      <c r="R821" s="2">
        <f>Table4[[#This Row],[total_followers]]/(Table4[[#This Row],[total_time_streamed]] / 60)</f>
        <v>4095.5399592483591</v>
      </c>
      <c r="S821" t="str">
        <f>IF(Table4[[#This Row],[avg_games_per_stream]] &gt; 2, "Variety", "Focused")</f>
        <v>Focused</v>
      </c>
      <c r="T821" s="4">
        <f>Table4[[#This Row],[avg_viewers_per_stream]] / Table4[[#This Row],[total_followers]]</f>
        <v>2.7772802653399667E-2</v>
      </c>
    </row>
    <row r="822" spans="1:20">
      <c r="A822">
        <v>822</v>
      </c>
      <c r="B822" t="s">
        <v>1067</v>
      </c>
      <c r="C822" t="s">
        <v>3</v>
      </c>
      <c r="D822" t="s">
        <v>39</v>
      </c>
      <c r="E822" t="s">
        <v>466</v>
      </c>
      <c r="F822" t="s">
        <v>70</v>
      </c>
      <c r="G822" s="3">
        <v>7.3</v>
      </c>
      <c r="H822">
        <v>1790</v>
      </c>
      <c r="I822">
        <v>5818</v>
      </c>
      <c r="J822">
        <v>1.1000000000000001</v>
      </c>
      <c r="K822">
        <v>12806</v>
      </c>
      <c r="L822" s="2">
        <v>349000</v>
      </c>
      <c r="M822" s="2">
        <v>10800000</v>
      </c>
      <c r="N822">
        <v>28</v>
      </c>
      <c r="O822">
        <v>4.5</v>
      </c>
      <c r="P822" t="s">
        <v>17</v>
      </c>
      <c r="Q822" t="s">
        <v>16</v>
      </c>
      <c r="R822" s="2">
        <f>Table4[[#This Row],[total_followers]]/(Table4[[#This Row],[total_time_streamed]] / 60)</f>
        <v>1635.1710135873809</v>
      </c>
      <c r="S822" t="str">
        <f>IF(Table4[[#This Row],[avg_games_per_stream]] &gt; 2, "Variety", "Focused")</f>
        <v>Focused</v>
      </c>
      <c r="T822" s="4">
        <f>Table4[[#This Row],[avg_viewers_per_stream]] / Table4[[#This Row],[total_followers]]</f>
        <v>1.6670487106017193E-2</v>
      </c>
    </row>
    <row r="823" spans="1:20">
      <c r="A823">
        <v>823</v>
      </c>
      <c r="B823" t="s">
        <v>1068</v>
      </c>
      <c r="C823" t="s">
        <v>3</v>
      </c>
      <c r="D823" t="s">
        <v>39</v>
      </c>
      <c r="E823" t="s">
        <v>109</v>
      </c>
      <c r="F823" t="s">
        <v>53</v>
      </c>
      <c r="G823" s="3">
        <v>9.6999999999999993</v>
      </c>
      <c r="H823">
        <v>1630</v>
      </c>
      <c r="I823">
        <v>12186</v>
      </c>
      <c r="J823">
        <v>1.7</v>
      </c>
      <c r="K823">
        <v>24371</v>
      </c>
      <c r="L823" s="2">
        <v>398000</v>
      </c>
      <c r="M823" s="2">
        <v>28900000</v>
      </c>
      <c r="N823">
        <v>312</v>
      </c>
      <c r="O823">
        <v>6.4</v>
      </c>
      <c r="P823" t="s">
        <v>17</v>
      </c>
      <c r="Q823" t="s">
        <v>14</v>
      </c>
      <c r="R823" s="2">
        <f>Table4[[#This Row],[total_followers]]/(Table4[[#This Row],[total_time_streamed]] / 60)</f>
        <v>979.85310409913416</v>
      </c>
      <c r="S823" t="str">
        <f>IF(Table4[[#This Row],[avg_games_per_stream]] &gt; 2, "Variety", "Focused")</f>
        <v>Focused</v>
      </c>
      <c r="T823" s="4">
        <f>Table4[[#This Row],[avg_viewers_per_stream]] / Table4[[#This Row],[total_followers]]</f>
        <v>3.0618090452261305E-2</v>
      </c>
    </row>
    <row r="824" spans="1:20">
      <c r="A824">
        <v>824</v>
      </c>
      <c r="B824" t="s">
        <v>1069</v>
      </c>
      <c r="C824" t="s">
        <v>6</v>
      </c>
      <c r="D824" t="s">
        <v>39</v>
      </c>
      <c r="E824" t="s">
        <v>85</v>
      </c>
      <c r="G824" s="3">
        <v>23</v>
      </c>
      <c r="H824">
        <v>60</v>
      </c>
      <c r="I824">
        <v>0</v>
      </c>
      <c r="J824">
        <v>1</v>
      </c>
      <c r="K824">
        <v>2484</v>
      </c>
      <c r="L824" s="2">
        <v>5500</v>
      </c>
      <c r="M824" s="2">
        <v>0</v>
      </c>
      <c r="N824">
        <v>1</v>
      </c>
      <c r="O824">
        <v>6.9</v>
      </c>
      <c r="P824" t="s">
        <v>20</v>
      </c>
      <c r="Q824" t="s">
        <v>19</v>
      </c>
      <c r="R824" s="2">
        <f>Table4[[#This Row],[total_followers]]/(Table4[[#This Row],[total_time_streamed]] / 60)</f>
        <v>132.85024154589374</v>
      </c>
      <c r="S824" t="str">
        <f>IF(Table4[[#This Row],[avg_games_per_stream]] &gt; 2, "Variety", "Focused")</f>
        <v>Focused</v>
      </c>
      <c r="T824" s="4">
        <f>Table4[[#This Row],[avg_viewers_per_stream]] / Table4[[#This Row],[total_followers]]</f>
        <v>0</v>
      </c>
    </row>
    <row r="825" spans="1:20">
      <c r="A825">
        <v>825</v>
      </c>
      <c r="B825" t="s">
        <v>1070</v>
      </c>
      <c r="C825" t="s">
        <v>3</v>
      </c>
      <c r="D825" t="s">
        <v>39</v>
      </c>
      <c r="E825" t="s">
        <v>40</v>
      </c>
      <c r="F825" t="s">
        <v>46</v>
      </c>
      <c r="G825" s="3">
        <v>4.5</v>
      </c>
      <c r="H825">
        <v>7260</v>
      </c>
      <c r="I825">
        <v>1513</v>
      </c>
      <c r="J825">
        <v>1.5</v>
      </c>
      <c r="K825">
        <v>5954</v>
      </c>
      <c r="L825" s="2">
        <v>1020000</v>
      </c>
      <c r="M825" s="2">
        <v>21200000</v>
      </c>
      <c r="N825">
        <v>172</v>
      </c>
      <c r="O825">
        <v>4.4000000000000004</v>
      </c>
      <c r="P825" t="s">
        <v>14</v>
      </c>
      <c r="Q825" t="s">
        <v>14</v>
      </c>
      <c r="R825" s="2">
        <f>Table4[[#This Row],[total_followers]]/(Table4[[#This Row],[total_time_streamed]] / 60)</f>
        <v>10278.804165267047</v>
      </c>
      <c r="S825" t="str">
        <f>IF(Table4[[#This Row],[avg_games_per_stream]] &gt; 2, "Variety", "Focused")</f>
        <v>Focused</v>
      </c>
      <c r="T825" s="4">
        <f>Table4[[#This Row],[avg_viewers_per_stream]] / Table4[[#This Row],[total_followers]]</f>
        <v>1.4833333333333332E-3</v>
      </c>
    </row>
    <row r="826" spans="1:20">
      <c r="A826">
        <v>826</v>
      </c>
      <c r="B826" t="s">
        <v>1071</v>
      </c>
      <c r="C826" t="s">
        <v>6</v>
      </c>
      <c r="D826" t="s">
        <v>39</v>
      </c>
      <c r="E826" t="s">
        <v>66</v>
      </c>
      <c r="F826" t="s">
        <v>40</v>
      </c>
      <c r="G826" s="3">
        <v>3.5</v>
      </c>
      <c r="H826">
        <v>1817</v>
      </c>
      <c r="I826">
        <v>2418</v>
      </c>
      <c r="J826">
        <v>2</v>
      </c>
      <c r="K826">
        <v>293</v>
      </c>
      <c r="L826" s="2">
        <v>1130000</v>
      </c>
      <c r="M826" s="2">
        <v>14900000</v>
      </c>
      <c r="N826">
        <v>54</v>
      </c>
      <c r="O826">
        <v>2.2000000000000002</v>
      </c>
      <c r="P826" t="s">
        <v>19</v>
      </c>
      <c r="Q826" t="s">
        <v>18</v>
      </c>
      <c r="R826" s="2">
        <f>Table4[[#This Row],[total_followers]]/(Table4[[#This Row],[total_time_streamed]] / 60)</f>
        <v>231399.31740614332</v>
      </c>
      <c r="S826" t="str">
        <f>IF(Table4[[#This Row],[avg_games_per_stream]] &gt; 2, "Variety", "Focused")</f>
        <v>Focused</v>
      </c>
      <c r="T826" s="4">
        <f>Table4[[#This Row],[avg_viewers_per_stream]] / Table4[[#This Row],[total_followers]]</f>
        <v>2.1398230088495577E-3</v>
      </c>
    </row>
    <row r="827" spans="1:20">
      <c r="A827">
        <v>827</v>
      </c>
      <c r="B827" t="s">
        <v>1072</v>
      </c>
      <c r="C827" t="s">
        <v>3</v>
      </c>
      <c r="D827" t="s">
        <v>39</v>
      </c>
      <c r="E827" t="s">
        <v>273</v>
      </c>
      <c r="F827" t="s">
        <v>799</v>
      </c>
      <c r="G827" s="3">
        <v>6.3</v>
      </c>
      <c r="H827">
        <v>450</v>
      </c>
      <c r="I827">
        <v>5003</v>
      </c>
      <c r="J827">
        <v>1.4</v>
      </c>
      <c r="K827">
        <v>13588</v>
      </c>
      <c r="L827" s="2">
        <v>118000</v>
      </c>
      <c r="M827" s="2">
        <v>12200000</v>
      </c>
      <c r="N827">
        <v>168</v>
      </c>
      <c r="O827">
        <v>5.5</v>
      </c>
      <c r="P827" t="s">
        <v>17</v>
      </c>
      <c r="Q827" t="s">
        <v>16</v>
      </c>
      <c r="R827" s="2">
        <f>Table4[[#This Row],[total_followers]]/(Table4[[#This Row],[total_time_streamed]] / 60)</f>
        <v>521.04798351486602</v>
      </c>
      <c r="S827" t="str">
        <f>IF(Table4[[#This Row],[avg_games_per_stream]] &gt; 2, "Variety", "Focused")</f>
        <v>Focused</v>
      </c>
      <c r="T827" s="4">
        <f>Table4[[#This Row],[avg_viewers_per_stream]] / Table4[[#This Row],[total_followers]]</f>
        <v>4.2398305084745763E-2</v>
      </c>
    </row>
    <row r="828" spans="1:20">
      <c r="A828">
        <v>828</v>
      </c>
      <c r="B828" t="s">
        <v>1073</v>
      </c>
      <c r="C828" t="s">
        <v>61</v>
      </c>
      <c r="D828" t="s">
        <v>39</v>
      </c>
      <c r="E828" t="s">
        <v>40</v>
      </c>
      <c r="F828" t="s">
        <v>46</v>
      </c>
      <c r="G828" s="3">
        <v>4.0999999999999996</v>
      </c>
      <c r="H828">
        <v>480</v>
      </c>
      <c r="I828">
        <v>4308</v>
      </c>
      <c r="J828">
        <v>1.2</v>
      </c>
      <c r="K828">
        <v>7554</v>
      </c>
      <c r="L828" s="2">
        <v>91500</v>
      </c>
      <c r="M828" s="2">
        <v>8119999</v>
      </c>
      <c r="N828">
        <v>53</v>
      </c>
      <c r="O828">
        <v>5.6</v>
      </c>
      <c r="P828" t="s">
        <v>19</v>
      </c>
      <c r="Q828" t="s">
        <v>16</v>
      </c>
      <c r="R828" s="2">
        <f>Table4[[#This Row],[total_followers]]/(Table4[[#This Row],[total_time_streamed]] / 60)</f>
        <v>726.76727561556788</v>
      </c>
      <c r="S828" t="str">
        <f>IF(Table4[[#This Row],[avg_games_per_stream]] &gt; 2, "Variety", "Focused")</f>
        <v>Focused</v>
      </c>
      <c r="T828" s="4">
        <f>Table4[[#This Row],[avg_viewers_per_stream]] / Table4[[#This Row],[total_followers]]</f>
        <v>4.7081967213114757E-2</v>
      </c>
    </row>
    <row r="829" spans="1:20">
      <c r="A829">
        <v>829</v>
      </c>
      <c r="B829" t="s">
        <v>1074</v>
      </c>
      <c r="C829" t="s">
        <v>5</v>
      </c>
      <c r="D829" t="s">
        <v>39</v>
      </c>
      <c r="E829" t="s">
        <v>54</v>
      </c>
      <c r="F829" t="s">
        <v>56</v>
      </c>
      <c r="G829" s="3">
        <v>4.0999999999999996</v>
      </c>
      <c r="H829">
        <v>4030</v>
      </c>
      <c r="I829">
        <v>6118</v>
      </c>
      <c r="J829">
        <v>1.1000000000000001</v>
      </c>
      <c r="K829">
        <v>2876</v>
      </c>
      <c r="L829" s="2">
        <v>339000</v>
      </c>
      <c r="M829" s="2">
        <v>5150000</v>
      </c>
      <c r="N829">
        <v>51</v>
      </c>
      <c r="O829">
        <v>1.8</v>
      </c>
      <c r="P829" t="s">
        <v>17</v>
      </c>
      <c r="Q829" t="s">
        <v>17</v>
      </c>
      <c r="R829" s="2">
        <f>Table4[[#This Row],[total_followers]]/(Table4[[#This Row],[total_time_streamed]] / 60)</f>
        <v>7072.3226703755217</v>
      </c>
      <c r="S829" t="str">
        <f>IF(Table4[[#This Row],[avg_games_per_stream]] &gt; 2, "Variety", "Focused")</f>
        <v>Focused</v>
      </c>
      <c r="T829" s="4">
        <f>Table4[[#This Row],[avg_viewers_per_stream]] / Table4[[#This Row],[total_followers]]</f>
        <v>1.8047197640117994E-2</v>
      </c>
    </row>
    <row r="830" spans="1:20">
      <c r="A830">
        <v>830</v>
      </c>
      <c r="B830" t="s">
        <v>1075</v>
      </c>
      <c r="C830" t="s">
        <v>5</v>
      </c>
      <c r="D830" t="s">
        <v>39</v>
      </c>
      <c r="E830" t="s">
        <v>66</v>
      </c>
      <c r="F830" t="s">
        <v>40</v>
      </c>
      <c r="G830" s="3">
        <v>6.2</v>
      </c>
      <c r="H830">
        <v>620</v>
      </c>
      <c r="I830">
        <v>1070</v>
      </c>
      <c r="J830">
        <v>1.8</v>
      </c>
      <c r="K830">
        <v>4674</v>
      </c>
      <c r="L830" s="2">
        <v>51100</v>
      </c>
      <c r="M830" s="2">
        <v>88800</v>
      </c>
      <c r="N830">
        <v>201</v>
      </c>
      <c r="O830">
        <v>4.5</v>
      </c>
      <c r="P830" t="s">
        <v>15</v>
      </c>
      <c r="Q830" t="s">
        <v>15</v>
      </c>
      <c r="R830" s="2">
        <f>Table4[[#This Row],[total_followers]]/(Table4[[#This Row],[total_time_streamed]] / 60)</f>
        <v>655.96919127086005</v>
      </c>
      <c r="S830" t="str">
        <f>IF(Table4[[#This Row],[avg_games_per_stream]] &gt; 2, "Variety", "Focused")</f>
        <v>Focused</v>
      </c>
      <c r="T830" s="4">
        <f>Table4[[#This Row],[avg_viewers_per_stream]] / Table4[[#This Row],[total_followers]]</f>
        <v>2.0939334637964775E-2</v>
      </c>
    </row>
    <row r="831" spans="1:20">
      <c r="A831">
        <v>831</v>
      </c>
      <c r="B831" t="s">
        <v>1076</v>
      </c>
      <c r="C831" t="s">
        <v>3</v>
      </c>
      <c r="D831" t="s">
        <v>39</v>
      </c>
      <c r="E831" t="s">
        <v>54</v>
      </c>
      <c r="F831" t="s">
        <v>56</v>
      </c>
      <c r="G831" s="3">
        <v>5.9</v>
      </c>
      <c r="H831">
        <v>9050</v>
      </c>
      <c r="I831">
        <v>223</v>
      </c>
      <c r="J831">
        <v>1.2</v>
      </c>
      <c r="K831">
        <v>6728</v>
      </c>
      <c r="L831" s="2">
        <v>1010000</v>
      </c>
      <c r="M831" s="2">
        <v>24800000</v>
      </c>
      <c r="N831">
        <v>46</v>
      </c>
      <c r="O831">
        <v>2.9</v>
      </c>
      <c r="P831" t="s">
        <v>16</v>
      </c>
      <c r="Q831" t="s">
        <v>16</v>
      </c>
      <c r="R831" s="2">
        <f>Table4[[#This Row],[total_followers]]/(Table4[[#This Row],[total_time_streamed]] / 60)</f>
        <v>9007.1343638525559</v>
      </c>
      <c r="S831" t="str">
        <f>IF(Table4[[#This Row],[avg_games_per_stream]] &gt; 2, "Variety", "Focused")</f>
        <v>Focused</v>
      </c>
      <c r="T831" s="4">
        <f>Table4[[#This Row],[avg_viewers_per_stream]] / Table4[[#This Row],[total_followers]]</f>
        <v>2.207920792079208E-4</v>
      </c>
    </row>
    <row r="832" spans="1:20">
      <c r="A832">
        <v>832</v>
      </c>
      <c r="B832" t="s">
        <v>1077</v>
      </c>
      <c r="C832" t="s">
        <v>63</v>
      </c>
      <c r="D832" t="s">
        <v>39</v>
      </c>
      <c r="E832" t="s">
        <v>64</v>
      </c>
      <c r="F832" t="s">
        <v>224</v>
      </c>
      <c r="G832" s="3">
        <v>5.3</v>
      </c>
      <c r="H832">
        <v>1915</v>
      </c>
      <c r="I832">
        <v>14706</v>
      </c>
      <c r="J832">
        <v>1.2</v>
      </c>
      <c r="K832">
        <v>6050</v>
      </c>
      <c r="L832" s="2">
        <v>239000</v>
      </c>
      <c r="M832" s="2">
        <v>1830000</v>
      </c>
      <c r="N832">
        <v>18</v>
      </c>
      <c r="O832">
        <v>0.8</v>
      </c>
      <c r="P832" t="s">
        <v>14</v>
      </c>
      <c r="Q832" t="s">
        <v>16</v>
      </c>
      <c r="R832" s="2">
        <f>Table4[[#This Row],[total_followers]]/(Table4[[#This Row],[total_time_streamed]] / 60)</f>
        <v>2370.2479338842977</v>
      </c>
      <c r="S832" t="str">
        <f>IF(Table4[[#This Row],[avg_games_per_stream]] &gt; 2, "Variety", "Focused")</f>
        <v>Focused</v>
      </c>
      <c r="T832" s="4">
        <f>Table4[[#This Row],[avg_viewers_per_stream]] / Table4[[#This Row],[total_followers]]</f>
        <v>6.1531380753138076E-2</v>
      </c>
    </row>
    <row r="833" spans="1:20">
      <c r="A833">
        <v>833</v>
      </c>
      <c r="B833" t="s">
        <v>1078</v>
      </c>
      <c r="C833" t="s">
        <v>7</v>
      </c>
      <c r="D833" t="s">
        <v>39</v>
      </c>
      <c r="E833" t="s">
        <v>74</v>
      </c>
      <c r="F833" t="s">
        <v>54</v>
      </c>
      <c r="G833" s="3">
        <v>4.5</v>
      </c>
      <c r="H833">
        <v>1743</v>
      </c>
      <c r="I833">
        <v>4591</v>
      </c>
      <c r="J833">
        <v>1.3</v>
      </c>
      <c r="K833">
        <v>27</v>
      </c>
      <c r="L833" s="2">
        <v>1100000</v>
      </c>
      <c r="M833" s="2">
        <v>2850000</v>
      </c>
      <c r="N833">
        <v>29</v>
      </c>
      <c r="O833">
        <v>5.0999999999999996</v>
      </c>
      <c r="P833" t="s">
        <v>16</v>
      </c>
      <c r="Q833" t="s">
        <v>14</v>
      </c>
      <c r="R833" s="2">
        <f>Table4[[#This Row],[total_followers]]/(Table4[[#This Row],[total_time_streamed]] / 60)</f>
        <v>2444444.4444444445</v>
      </c>
      <c r="S833" t="str">
        <f>IF(Table4[[#This Row],[avg_games_per_stream]] &gt; 2, "Variety", "Focused")</f>
        <v>Focused</v>
      </c>
      <c r="T833" s="4">
        <f>Table4[[#This Row],[avg_viewers_per_stream]] / Table4[[#This Row],[total_followers]]</f>
        <v>4.1736363636363637E-3</v>
      </c>
    </row>
    <row r="834" spans="1:20">
      <c r="A834">
        <v>834</v>
      </c>
      <c r="B834" t="s">
        <v>1079</v>
      </c>
      <c r="C834" t="s">
        <v>3</v>
      </c>
      <c r="D834" t="s">
        <v>39</v>
      </c>
      <c r="E834" t="s">
        <v>54</v>
      </c>
      <c r="F834" t="s">
        <v>56</v>
      </c>
      <c r="G834" s="3">
        <v>5</v>
      </c>
      <c r="H834">
        <v>4360</v>
      </c>
      <c r="I834">
        <v>8300</v>
      </c>
      <c r="J834">
        <v>1.1000000000000001</v>
      </c>
      <c r="K834">
        <v>4483</v>
      </c>
      <c r="L834" s="2">
        <v>427000</v>
      </c>
      <c r="M834" s="2">
        <v>813000</v>
      </c>
      <c r="N834">
        <v>39</v>
      </c>
      <c r="O834">
        <v>2.6</v>
      </c>
      <c r="P834" t="s">
        <v>19</v>
      </c>
      <c r="Q834" t="s">
        <v>19</v>
      </c>
      <c r="R834" s="2">
        <f>Table4[[#This Row],[total_followers]]/(Table4[[#This Row],[total_time_streamed]] / 60)</f>
        <v>5714.9230426053982</v>
      </c>
      <c r="S834" t="str">
        <f>IF(Table4[[#This Row],[avg_games_per_stream]] &gt; 2, "Variety", "Focused")</f>
        <v>Focused</v>
      </c>
      <c r="T834" s="4">
        <f>Table4[[#This Row],[avg_viewers_per_stream]] / Table4[[#This Row],[total_followers]]</f>
        <v>1.9437939110070256E-2</v>
      </c>
    </row>
    <row r="835" spans="1:20">
      <c r="A835">
        <v>835</v>
      </c>
      <c r="B835" t="s">
        <v>1080</v>
      </c>
      <c r="C835" t="s">
        <v>63</v>
      </c>
      <c r="D835" t="s">
        <v>39</v>
      </c>
      <c r="E835" t="s">
        <v>64</v>
      </c>
      <c r="F835" t="s">
        <v>502</v>
      </c>
      <c r="G835" s="3">
        <v>5.9</v>
      </c>
      <c r="H835">
        <v>2970</v>
      </c>
      <c r="I835">
        <v>3753</v>
      </c>
      <c r="J835">
        <v>1.2</v>
      </c>
      <c r="K835">
        <v>9340</v>
      </c>
      <c r="L835" s="2">
        <v>64000</v>
      </c>
      <c r="M835" s="2">
        <v>987000</v>
      </c>
      <c r="N835">
        <v>4</v>
      </c>
      <c r="O835">
        <v>0.6</v>
      </c>
      <c r="P835" t="s">
        <v>18</v>
      </c>
      <c r="Q835" t="s">
        <v>14</v>
      </c>
      <c r="R835" s="2">
        <f>Table4[[#This Row],[total_followers]]/(Table4[[#This Row],[total_time_streamed]] / 60)</f>
        <v>411.13490364025699</v>
      </c>
      <c r="S835" t="str">
        <f>IF(Table4[[#This Row],[avg_games_per_stream]] &gt; 2, "Variety", "Focused")</f>
        <v>Focused</v>
      </c>
      <c r="T835" s="4">
        <f>Table4[[#This Row],[avg_viewers_per_stream]] / Table4[[#This Row],[total_followers]]</f>
        <v>5.8640625000000002E-2</v>
      </c>
    </row>
    <row r="836" spans="1:20">
      <c r="A836">
        <v>836</v>
      </c>
      <c r="B836" t="s">
        <v>1081</v>
      </c>
      <c r="C836" t="s">
        <v>63</v>
      </c>
      <c r="D836" t="s">
        <v>39</v>
      </c>
      <c r="E836" t="s">
        <v>595</v>
      </c>
      <c r="G836" s="3">
        <v>13.6</v>
      </c>
      <c r="H836">
        <v>8760</v>
      </c>
      <c r="I836">
        <v>0</v>
      </c>
      <c r="J836">
        <v>1</v>
      </c>
      <c r="K836">
        <v>270</v>
      </c>
      <c r="L836" s="2">
        <v>877</v>
      </c>
      <c r="M836" s="2">
        <v>0</v>
      </c>
      <c r="N836">
        <v>1</v>
      </c>
      <c r="O836">
        <v>0.6</v>
      </c>
      <c r="P836" t="s">
        <v>15</v>
      </c>
      <c r="Q836" t="s">
        <v>14</v>
      </c>
      <c r="R836" s="2">
        <f>Table4[[#This Row],[total_followers]]/(Table4[[#This Row],[total_time_streamed]] / 60)</f>
        <v>194.88888888888889</v>
      </c>
      <c r="S836" t="str">
        <f>IF(Table4[[#This Row],[avg_games_per_stream]] &gt; 2, "Variety", "Focused")</f>
        <v>Focused</v>
      </c>
      <c r="T836" s="4">
        <f>Table4[[#This Row],[avg_viewers_per_stream]] / Table4[[#This Row],[total_followers]]</f>
        <v>0</v>
      </c>
    </row>
    <row r="837" spans="1:20">
      <c r="A837">
        <v>837</v>
      </c>
      <c r="B837" t="s">
        <v>1082</v>
      </c>
      <c r="C837" t="s">
        <v>3</v>
      </c>
      <c r="D837" t="s">
        <v>39</v>
      </c>
      <c r="E837" t="s">
        <v>387</v>
      </c>
      <c r="F837" t="s">
        <v>40</v>
      </c>
      <c r="G837" s="3">
        <v>3</v>
      </c>
      <c r="H837">
        <v>3432</v>
      </c>
      <c r="I837">
        <v>20081</v>
      </c>
      <c r="J837">
        <v>2.4</v>
      </c>
      <c r="K837">
        <v>2232</v>
      </c>
      <c r="L837" s="2">
        <v>2210000</v>
      </c>
      <c r="M837" s="2">
        <v>12900000</v>
      </c>
      <c r="N837">
        <v>50</v>
      </c>
      <c r="O837">
        <v>2.6</v>
      </c>
      <c r="P837" t="s">
        <v>16</v>
      </c>
      <c r="Q837" t="s">
        <v>15</v>
      </c>
      <c r="R837" s="2">
        <f>Table4[[#This Row],[total_followers]]/(Table4[[#This Row],[total_time_streamed]] / 60)</f>
        <v>59408.602150537627</v>
      </c>
      <c r="S837" t="str">
        <f>IF(Table4[[#This Row],[avg_games_per_stream]] &gt; 2, "Variety", "Focused")</f>
        <v>Variety</v>
      </c>
      <c r="T837" s="4">
        <f>Table4[[#This Row],[avg_viewers_per_stream]] / Table4[[#This Row],[total_followers]]</f>
        <v>9.0864253393665162E-3</v>
      </c>
    </row>
    <row r="838" spans="1:20">
      <c r="A838">
        <v>838</v>
      </c>
      <c r="B838" t="s">
        <v>1083</v>
      </c>
      <c r="C838" t="s">
        <v>3</v>
      </c>
      <c r="D838" t="s">
        <v>58</v>
      </c>
      <c r="E838" t="s">
        <v>1084</v>
      </c>
      <c r="F838" t="s">
        <v>1085</v>
      </c>
      <c r="G838" s="3">
        <v>2.5</v>
      </c>
      <c r="H838">
        <v>2635</v>
      </c>
      <c r="I838">
        <v>42554</v>
      </c>
      <c r="J838">
        <v>1</v>
      </c>
      <c r="K838">
        <v>3960</v>
      </c>
      <c r="L838" s="2">
        <v>523000</v>
      </c>
      <c r="M838" s="2">
        <v>8460000</v>
      </c>
      <c r="N838">
        <v>10</v>
      </c>
      <c r="O838">
        <v>0.5</v>
      </c>
      <c r="P838" t="s">
        <v>19</v>
      </c>
      <c r="Q838" t="s">
        <v>14</v>
      </c>
      <c r="R838" s="2">
        <f>Table4[[#This Row],[total_followers]]/(Table4[[#This Row],[total_time_streamed]] / 60)</f>
        <v>7924.242424242424</v>
      </c>
      <c r="S838" t="str">
        <f>IF(Table4[[#This Row],[avg_games_per_stream]] &gt; 2, "Variety", "Focused")</f>
        <v>Focused</v>
      </c>
      <c r="T838" s="4">
        <f>Table4[[#This Row],[avg_viewers_per_stream]] / Table4[[#This Row],[total_followers]]</f>
        <v>8.136520076481836E-2</v>
      </c>
    </row>
    <row r="839" spans="1:20">
      <c r="A839">
        <v>839</v>
      </c>
      <c r="B839" t="s">
        <v>1086</v>
      </c>
      <c r="C839" t="s">
        <v>63</v>
      </c>
      <c r="D839" t="s">
        <v>39</v>
      </c>
      <c r="E839" t="s">
        <v>56</v>
      </c>
      <c r="F839" t="s">
        <v>40</v>
      </c>
      <c r="G839" s="3">
        <v>3.6</v>
      </c>
      <c r="H839">
        <v>3180</v>
      </c>
      <c r="I839">
        <v>10389</v>
      </c>
      <c r="J839">
        <v>1.2</v>
      </c>
      <c r="K839">
        <v>5265</v>
      </c>
      <c r="L839" s="2">
        <v>520000</v>
      </c>
      <c r="M839" s="2">
        <v>17000000</v>
      </c>
      <c r="N839">
        <v>21</v>
      </c>
      <c r="O839">
        <v>4.0999999999999996</v>
      </c>
      <c r="P839" t="s">
        <v>15</v>
      </c>
      <c r="Q839" t="s">
        <v>16</v>
      </c>
      <c r="R839" s="2">
        <f>Table4[[#This Row],[total_followers]]/(Table4[[#This Row],[total_time_streamed]] / 60)</f>
        <v>5925.9259259259261</v>
      </c>
      <c r="S839" t="str">
        <f>IF(Table4[[#This Row],[avg_games_per_stream]] &gt; 2, "Variety", "Focused")</f>
        <v>Focused</v>
      </c>
      <c r="T839" s="4">
        <f>Table4[[#This Row],[avg_viewers_per_stream]] / Table4[[#This Row],[total_followers]]</f>
        <v>1.9978846153846153E-2</v>
      </c>
    </row>
    <row r="840" spans="1:20">
      <c r="A840">
        <v>840</v>
      </c>
      <c r="B840" t="s">
        <v>1087</v>
      </c>
      <c r="C840" t="s">
        <v>91</v>
      </c>
      <c r="D840" t="s">
        <v>39</v>
      </c>
      <c r="E840" t="s">
        <v>88</v>
      </c>
      <c r="F840" t="s">
        <v>70</v>
      </c>
      <c r="G840" s="3">
        <v>6.6</v>
      </c>
      <c r="H840">
        <v>1930</v>
      </c>
      <c r="I840">
        <v>6672</v>
      </c>
      <c r="J840">
        <v>1.5</v>
      </c>
      <c r="K840">
        <v>15154</v>
      </c>
      <c r="L840" s="2">
        <v>666000</v>
      </c>
      <c r="M840" s="2">
        <v>23000000</v>
      </c>
      <c r="N840">
        <v>161</v>
      </c>
      <c r="O840">
        <v>5.9</v>
      </c>
      <c r="P840" t="s">
        <v>19</v>
      </c>
      <c r="Q840" t="s">
        <v>19</v>
      </c>
      <c r="R840" s="2">
        <f>Table4[[#This Row],[total_followers]]/(Table4[[#This Row],[total_time_streamed]] / 60)</f>
        <v>2636.9275438828031</v>
      </c>
      <c r="S840" t="str">
        <f>IF(Table4[[#This Row],[avg_games_per_stream]] &gt; 2, "Variety", "Focused")</f>
        <v>Focused</v>
      </c>
      <c r="T840" s="4">
        <f>Table4[[#This Row],[avg_viewers_per_stream]] / Table4[[#This Row],[total_followers]]</f>
        <v>1.0018018018018018E-2</v>
      </c>
    </row>
    <row r="841" spans="1:20">
      <c r="A841">
        <v>841</v>
      </c>
      <c r="B841" t="s">
        <v>1088</v>
      </c>
      <c r="C841" t="s">
        <v>981</v>
      </c>
      <c r="D841" t="s">
        <v>39</v>
      </c>
      <c r="E841" t="s">
        <v>40</v>
      </c>
      <c r="F841" t="s">
        <v>68</v>
      </c>
      <c r="G841" s="3">
        <v>4.7</v>
      </c>
      <c r="H841">
        <v>3380</v>
      </c>
      <c r="I841">
        <v>1534</v>
      </c>
      <c r="J841">
        <v>1.9</v>
      </c>
      <c r="K841">
        <v>3426</v>
      </c>
      <c r="L841" s="2">
        <v>249000</v>
      </c>
      <c r="M841" s="2">
        <v>1130000</v>
      </c>
      <c r="N841">
        <v>122</v>
      </c>
      <c r="O841">
        <v>4.0999999999999996</v>
      </c>
      <c r="P841" t="s">
        <v>20</v>
      </c>
      <c r="Q841" t="s">
        <v>14</v>
      </c>
      <c r="R841" s="2">
        <f>Table4[[#This Row],[total_followers]]/(Table4[[#This Row],[total_time_streamed]] / 60)</f>
        <v>4360.7705779334501</v>
      </c>
      <c r="S841" t="str">
        <f>IF(Table4[[#This Row],[avg_games_per_stream]] &gt; 2, "Variety", "Focused")</f>
        <v>Focused</v>
      </c>
      <c r="T841" s="4">
        <f>Table4[[#This Row],[avg_viewers_per_stream]] / Table4[[#This Row],[total_followers]]</f>
        <v>6.1606425702811244E-3</v>
      </c>
    </row>
    <row r="842" spans="1:20">
      <c r="A842">
        <v>842</v>
      </c>
      <c r="B842" t="s">
        <v>1089</v>
      </c>
      <c r="C842" t="s">
        <v>3</v>
      </c>
      <c r="D842" t="s">
        <v>39</v>
      </c>
      <c r="E842" t="s">
        <v>46</v>
      </c>
      <c r="F842" t="s">
        <v>40</v>
      </c>
      <c r="G842" s="3">
        <v>7</v>
      </c>
      <c r="H842">
        <v>1510</v>
      </c>
      <c r="I842">
        <v>6542</v>
      </c>
      <c r="J842">
        <v>1.1000000000000001</v>
      </c>
      <c r="K842">
        <v>14934</v>
      </c>
      <c r="L842" s="2">
        <v>398000</v>
      </c>
      <c r="M842" s="2">
        <v>17200000</v>
      </c>
      <c r="N842">
        <v>54</v>
      </c>
      <c r="O842">
        <v>6.1</v>
      </c>
      <c r="P842" t="s">
        <v>16</v>
      </c>
      <c r="Q842" t="s">
        <v>17</v>
      </c>
      <c r="R842" s="2">
        <f>Table4[[#This Row],[total_followers]]/(Table4[[#This Row],[total_time_streamed]] / 60)</f>
        <v>1599.0357573322619</v>
      </c>
      <c r="S842" t="str">
        <f>IF(Table4[[#This Row],[avg_games_per_stream]] &gt; 2, "Variety", "Focused")</f>
        <v>Focused</v>
      </c>
      <c r="T842" s="4">
        <f>Table4[[#This Row],[avg_viewers_per_stream]] / Table4[[#This Row],[total_followers]]</f>
        <v>1.643718592964824E-2</v>
      </c>
    </row>
    <row r="843" spans="1:20">
      <c r="A843">
        <v>843</v>
      </c>
      <c r="B843" t="s">
        <v>1090</v>
      </c>
      <c r="C843" t="s">
        <v>3</v>
      </c>
      <c r="D843" t="s">
        <v>39</v>
      </c>
      <c r="E843" t="s">
        <v>40</v>
      </c>
      <c r="F843" t="s">
        <v>344</v>
      </c>
      <c r="G843" s="3">
        <v>6.1</v>
      </c>
      <c r="H843">
        <v>7610</v>
      </c>
      <c r="I843">
        <v>15385</v>
      </c>
      <c r="J843">
        <v>1.7</v>
      </c>
      <c r="K843">
        <v>6726</v>
      </c>
      <c r="L843" s="2">
        <v>720000</v>
      </c>
      <c r="M843" s="2">
        <v>14600000</v>
      </c>
      <c r="N843">
        <v>21</v>
      </c>
      <c r="O843">
        <v>5.5</v>
      </c>
      <c r="P843" t="s">
        <v>16</v>
      </c>
      <c r="Q843" t="s">
        <v>16</v>
      </c>
      <c r="R843" s="2">
        <f>Table4[[#This Row],[total_followers]]/(Table4[[#This Row],[total_time_streamed]] / 60)</f>
        <v>6422.8367528991976</v>
      </c>
      <c r="S843" t="str">
        <f>IF(Table4[[#This Row],[avg_games_per_stream]] &gt; 2, "Variety", "Focused")</f>
        <v>Focused</v>
      </c>
      <c r="T843" s="4">
        <f>Table4[[#This Row],[avg_viewers_per_stream]] / Table4[[#This Row],[total_followers]]</f>
        <v>2.1368055555555557E-2</v>
      </c>
    </row>
    <row r="844" spans="1:20">
      <c r="A844">
        <v>844</v>
      </c>
      <c r="B844" t="s">
        <v>1091</v>
      </c>
      <c r="C844" t="s">
        <v>4</v>
      </c>
      <c r="D844" t="s">
        <v>39</v>
      </c>
      <c r="E844" t="s">
        <v>40</v>
      </c>
      <c r="F844" t="s">
        <v>46</v>
      </c>
      <c r="G844" s="3">
        <v>4.5999999999999996</v>
      </c>
      <c r="H844">
        <v>2530</v>
      </c>
      <c r="I844">
        <v>13036</v>
      </c>
      <c r="J844">
        <v>1.6</v>
      </c>
      <c r="K844">
        <v>7697</v>
      </c>
      <c r="L844" s="2">
        <v>408000</v>
      </c>
      <c r="M844" s="2">
        <v>20500000</v>
      </c>
      <c r="N844">
        <v>266</v>
      </c>
      <c r="O844">
        <v>4.3</v>
      </c>
      <c r="P844" t="s">
        <v>14</v>
      </c>
      <c r="Q844" t="s">
        <v>14</v>
      </c>
      <c r="R844" s="2">
        <f>Table4[[#This Row],[total_followers]]/(Table4[[#This Row],[total_time_streamed]] / 60)</f>
        <v>3180.4599194491361</v>
      </c>
      <c r="S844" t="str">
        <f>IF(Table4[[#This Row],[avg_games_per_stream]] &gt; 2, "Variety", "Focused")</f>
        <v>Focused</v>
      </c>
      <c r="T844" s="4">
        <f>Table4[[#This Row],[avg_viewers_per_stream]] / Table4[[#This Row],[total_followers]]</f>
        <v>3.1950980392156859E-2</v>
      </c>
    </row>
    <row r="845" spans="1:20">
      <c r="A845">
        <v>845</v>
      </c>
      <c r="B845" t="s">
        <v>1092</v>
      </c>
      <c r="C845" t="s">
        <v>6</v>
      </c>
      <c r="D845" t="s">
        <v>39</v>
      </c>
      <c r="E845" t="s">
        <v>145</v>
      </c>
      <c r="F845" t="s">
        <v>193</v>
      </c>
      <c r="G845" s="3">
        <v>6.3</v>
      </c>
      <c r="H845">
        <v>2260</v>
      </c>
      <c r="I845">
        <v>2080</v>
      </c>
      <c r="J845">
        <v>1.2</v>
      </c>
      <c r="K845">
        <v>4188</v>
      </c>
      <c r="L845" s="2">
        <v>156000</v>
      </c>
      <c r="M845" s="2">
        <v>144000</v>
      </c>
      <c r="N845">
        <v>9</v>
      </c>
      <c r="O845">
        <v>3.3</v>
      </c>
      <c r="P845" t="s">
        <v>15</v>
      </c>
      <c r="Q845" t="s">
        <v>14</v>
      </c>
      <c r="R845" s="2">
        <f>Table4[[#This Row],[total_followers]]/(Table4[[#This Row],[total_time_streamed]] / 60)</f>
        <v>2234.9570200573066</v>
      </c>
      <c r="S845" t="str">
        <f>IF(Table4[[#This Row],[avg_games_per_stream]] &gt; 2, "Variety", "Focused")</f>
        <v>Focused</v>
      </c>
      <c r="T845" s="4">
        <f>Table4[[#This Row],[avg_viewers_per_stream]] / Table4[[#This Row],[total_followers]]</f>
        <v>1.3333333333333334E-2</v>
      </c>
    </row>
    <row r="846" spans="1:20">
      <c r="A846">
        <v>846</v>
      </c>
      <c r="B846" t="s">
        <v>1093</v>
      </c>
      <c r="C846" t="s">
        <v>63</v>
      </c>
      <c r="D846" t="s">
        <v>39</v>
      </c>
      <c r="E846" t="s">
        <v>40</v>
      </c>
      <c r="F846" t="s">
        <v>56</v>
      </c>
      <c r="G846" s="3">
        <v>2.2999999999999998</v>
      </c>
      <c r="H846">
        <v>1283</v>
      </c>
      <c r="I846">
        <v>7134</v>
      </c>
      <c r="J846">
        <v>1.3</v>
      </c>
      <c r="K846">
        <v>164</v>
      </c>
      <c r="L846" s="2">
        <v>939000</v>
      </c>
      <c r="M846" s="2">
        <v>5220000</v>
      </c>
      <c r="N846">
        <v>52</v>
      </c>
      <c r="O846">
        <v>2.4</v>
      </c>
      <c r="P846" t="s">
        <v>17</v>
      </c>
      <c r="Q846" t="s">
        <v>19</v>
      </c>
      <c r="R846" s="2">
        <f>Table4[[#This Row],[total_followers]]/(Table4[[#This Row],[total_time_streamed]] / 60)</f>
        <v>343536.58536585368</v>
      </c>
      <c r="S846" t="str">
        <f>IF(Table4[[#This Row],[avg_games_per_stream]] &gt; 2, "Variety", "Focused")</f>
        <v>Focused</v>
      </c>
      <c r="T846" s="4">
        <f>Table4[[#This Row],[avg_viewers_per_stream]] / Table4[[#This Row],[total_followers]]</f>
        <v>7.5974440894568691E-3</v>
      </c>
    </row>
    <row r="847" spans="1:20">
      <c r="A847">
        <v>847</v>
      </c>
      <c r="B847" t="s">
        <v>1094</v>
      </c>
      <c r="C847" t="s">
        <v>3</v>
      </c>
      <c r="D847" t="s">
        <v>39</v>
      </c>
      <c r="E847" t="s">
        <v>40</v>
      </c>
      <c r="F847" t="s">
        <v>54</v>
      </c>
      <c r="G847" s="3">
        <v>4.9000000000000004</v>
      </c>
      <c r="H847">
        <v>9250</v>
      </c>
      <c r="I847">
        <v>22455</v>
      </c>
      <c r="J847">
        <v>2.7</v>
      </c>
      <c r="K847">
        <v>3666</v>
      </c>
      <c r="L847" s="2">
        <v>615000</v>
      </c>
      <c r="M847" s="2">
        <v>14900000</v>
      </c>
      <c r="N847">
        <v>256</v>
      </c>
      <c r="O847">
        <v>3.5</v>
      </c>
      <c r="P847" t="s">
        <v>17</v>
      </c>
      <c r="Q847" t="s">
        <v>17</v>
      </c>
      <c r="R847" s="2">
        <f>Table4[[#This Row],[total_followers]]/(Table4[[#This Row],[total_time_streamed]] / 60)</f>
        <v>10065.466448445171</v>
      </c>
      <c r="S847" t="str">
        <f>IF(Table4[[#This Row],[avg_games_per_stream]] &gt; 2, "Variety", "Focused")</f>
        <v>Variety</v>
      </c>
      <c r="T847" s="4">
        <f>Table4[[#This Row],[avg_viewers_per_stream]] / Table4[[#This Row],[total_followers]]</f>
        <v>3.6512195121951217E-2</v>
      </c>
    </row>
    <row r="848" spans="1:20">
      <c r="A848">
        <v>848</v>
      </c>
      <c r="B848" t="s">
        <v>1095</v>
      </c>
      <c r="C848" t="s">
        <v>2</v>
      </c>
      <c r="D848" t="s">
        <v>39</v>
      </c>
      <c r="E848" t="s">
        <v>54</v>
      </c>
      <c r="F848" t="s">
        <v>70</v>
      </c>
      <c r="G848" s="3">
        <v>7.4</v>
      </c>
      <c r="H848">
        <v>820</v>
      </c>
      <c r="I848">
        <v>2265</v>
      </c>
      <c r="J848">
        <v>1.5</v>
      </c>
      <c r="K848">
        <v>721</v>
      </c>
      <c r="L848" s="2">
        <v>81000</v>
      </c>
      <c r="M848" s="2">
        <v>2230000</v>
      </c>
      <c r="N848">
        <v>43</v>
      </c>
      <c r="O848">
        <v>2.8</v>
      </c>
      <c r="P848" t="s">
        <v>19</v>
      </c>
      <c r="Q848" t="s">
        <v>15</v>
      </c>
      <c r="R848" s="2">
        <f>Table4[[#This Row],[total_followers]]/(Table4[[#This Row],[total_time_streamed]] / 60)</f>
        <v>6740.6380027739242</v>
      </c>
      <c r="S848" t="str">
        <f>IF(Table4[[#This Row],[avg_games_per_stream]] &gt; 2, "Variety", "Focused")</f>
        <v>Focused</v>
      </c>
      <c r="T848" s="4">
        <f>Table4[[#This Row],[avg_viewers_per_stream]] / Table4[[#This Row],[total_followers]]</f>
        <v>2.7962962962962964E-2</v>
      </c>
    </row>
    <row r="849" spans="1:20">
      <c r="A849">
        <v>849</v>
      </c>
      <c r="B849" t="s">
        <v>1096</v>
      </c>
      <c r="C849" t="s">
        <v>3</v>
      </c>
      <c r="D849" t="s">
        <v>39</v>
      </c>
      <c r="E849" t="s">
        <v>314</v>
      </c>
      <c r="F849" t="s">
        <v>592</v>
      </c>
      <c r="G849" s="3">
        <v>5.9</v>
      </c>
      <c r="H849">
        <v>960</v>
      </c>
      <c r="I849">
        <v>3043</v>
      </c>
      <c r="J849">
        <v>1.8</v>
      </c>
      <c r="K849">
        <v>874</v>
      </c>
      <c r="L849" s="2">
        <v>150000</v>
      </c>
      <c r="M849" s="2">
        <v>4740000</v>
      </c>
      <c r="N849">
        <v>249</v>
      </c>
      <c r="O849">
        <v>4.2</v>
      </c>
      <c r="P849" t="s">
        <v>18</v>
      </c>
      <c r="Q849" t="s">
        <v>17</v>
      </c>
      <c r="R849" s="2">
        <f>Table4[[#This Row],[total_followers]]/(Table4[[#This Row],[total_time_streamed]] / 60)</f>
        <v>10297.482837528605</v>
      </c>
      <c r="S849" t="str">
        <f>IF(Table4[[#This Row],[avg_games_per_stream]] &gt; 2, "Variety", "Focused")</f>
        <v>Focused</v>
      </c>
      <c r="T849" s="4">
        <f>Table4[[#This Row],[avg_viewers_per_stream]] / Table4[[#This Row],[total_followers]]</f>
        <v>2.0286666666666668E-2</v>
      </c>
    </row>
    <row r="850" spans="1:20">
      <c r="A850">
        <v>850</v>
      </c>
      <c r="B850" t="s">
        <v>1097</v>
      </c>
      <c r="C850" t="s">
        <v>4</v>
      </c>
      <c r="D850" t="s">
        <v>39</v>
      </c>
      <c r="E850" t="s">
        <v>51</v>
      </c>
      <c r="F850" t="s">
        <v>40</v>
      </c>
      <c r="G850" s="3">
        <v>3.5</v>
      </c>
      <c r="H850">
        <v>7250</v>
      </c>
      <c r="I850">
        <v>10002</v>
      </c>
      <c r="J850">
        <v>1.7</v>
      </c>
      <c r="K850">
        <v>3999</v>
      </c>
      <c r="L850" s="2">
        <v>925000</v>
      </c>
      <c r="M850" s="2">
        <v>12600000</v>
      </c>
      <c r="N850">
        <v>512</v>
      </c>
      <c r="O850">
        <v>2.9</v>
      </c>
      <c r="P850" t="s">
        <v>14</v>
      </c>
      <c r="Q850" t="s">
        <v>20</v>
      </c>
      <c r="R850" s="2">
        <f>Table4[[#This Row],[total_followers]]/(Table4[[#This Row],[total_time_streamed]] / 60)</f>
        <v>13878.469617404349</v>
      </c>
      <c r="S850" t="str">
        <f>IF(Table4[[#This Row],[avg_games_per_stream]] &gt; 2, "Variety", "Focused")</f>
        <v>Focused</v>
      </c>
      <c r="T850" s="4">
        <f>Table4[[#This Row],[avg_viewers_per_stream]] / Table4[[#This Row],[total_followers]]</f>
        <v>1.0812972972972974E-2</v>
      </c>
    </row>
    <row r="851" spans="1:20">
      <c r="A851">
        <v>851</v>
      </c>
      <c r="B851" t="s">
        <v>1098</v>
      </c>
      <c r="C851" t="s">
        <v>4</v>
      </c>
      <c r="D851" t="s">
        <v>58</v>
      </c>
      <c r="E851" t="s">
        <v>46</v>
      </c>
      <c r="F851" t="s">
        <v>123</v>
      </c>
      <c r="G851" s="3">
        <v>20</v>
      </c>
      <c r="H851">
        <v>4680</v>
      </c>
      <c r="I851">
        <v>129534</v>
      </c>
      <c r="J851">
        <v>3.1</v>
      </c>
      <c r="K851">
        <v>41951</v>
      </c>
      <c r="L851" s="2">
        <v>697000</v>
      </c>
      <c r="M851" s="2">
        <v>191000000</v>
      </c>
      <c r="N851">
        <v>382</v>
      </c>
      <c r="O851">
        <v>6.1</v>
      </c>
      <c r="P851" t="s">
        <v>14</v>
      </c>
      <c r="Q851" t="s">
        <v>14</v>
      </c>
      <c r="R851" s="2">
        <f>Table4[[#This Row],[total_followers]]/(Table4[[#This Row],[total_time_streamed]] / 60)</f>
        <v>996.87730924173445</v>
      </c>
      <c r="S851" t="str">
        <f>IF(Table4[[#This Row],[avg_games_per_stream]] &gt; 2, "Variety", "Focused")</f>
        <v>Variety</v>
      </c>
      <c r="T851" s="4">
        <f>Table4[[#This Row],[avg_viewers_per_stream]] / Table4[[#This Row],[total_followers]]</f>
        <v>0.18584505021520803</v>
      </c>
    </row>
    <row r="852" spans="1:20">
      <c r="A852">
        <v>852</v>
      </c>
      <c r="B852" t="s">
        <v>1099</v>
      </c>
      <c r="C852" t="s">
        <v>5</v>
      </c>
      <c r="D852" t="s">
        <v>39</v>
      </c>
      <c r="E852" t="s">
        <v>54</v>
      </c>
      <c r="F852" t="s">
        <v>56</v>
      </c>
      <c r="G852" s="3">
        <v>4.7</v>
      </c>
      <c r="H852">
        <v>1090</v>
      </c>
      <c r="I852">
        <v>8050</v>
      </c>
      <c r="J852">
        <v>1</v>
      </c>
      <c r="K852">
        <v>363</v>
      </c>
      <c r="L852" s="2">
        <v>94200</v>
      </c>
      <c r="M852" s="2">
        <v>700000</v>
      </c>
      <c r="N852">
        <v>29</v>
      </c>
      <c r="O852">
        <v>2.4</v>
      </c>
      <c r="P852" t="s">
        <v>20</v>
      </c>
      <c r="Q852" t="s">
        <v>15</v>
      </c>
      <c r="R852" s="2">
        <f>Table4[[#This Row],[total_followers]]/(Table4[[#This Row],[total_time_streamed]] / 60)</f>
        <v>15570.247933884299</v>
      </c>
      <c r="S852" t="str">
        <f>IF(Table4[[#This Row],[avg_games_per_stream]] &gt; 2, "Variety", "Focused")</f>
        <v>Focused</v>
      </c>
      <c r="T852" s="4">
        <f>Table4[[#This Row],[avg_viewers_per_stream]] / Table4[[#This Row],[total_followers]]</f>
        <v>8.5456475583864114E-2</v>
      </c>
    </row>
    <row r="853" spans="1:20">
      <c r="A853">
        <v>853</v>
      </c>
      <c r="B853" t="s">
        <v>1100</v>
      </c>
      <c r="C853" t="s">
        <v>7</v>
      </c>
      <c r="D853" t="s">
        <v>39</v>
      </c>
      <c r="E853" t="s">
        <v>56</v>
      </c>
      <c r="F853" t="s">
        <v>40</v>
      </c>
      <c r="G853" s="3">
        <v>5.2</v>
      </c>
      <c r="H853">
        <v>1490</v>
      </c>
      <c r="I853">
        <v>3388</v>
      </c>
      <c r="J853">
        <v>1.3</v>
      </c>
      <c r="K853">
        <v>6526</v>
      </c>
      <c r="L853" s="2">
        <v>208000</v>
      </c>
      <c r="M853" s="2">
        <v>4730000</v>
      </c>
      <c r="N853">
        <v>19</v>
      </c>
      <c r="O853">
        <v>3.9</v>
      </c>
      <c r="P853" t="s">
        <v>20</v>
      </c>
      <c r="Q853" t="s">
        <v>16</v>
      </c>
      <c r="R853" s="2">
        <f>Table4[[#This Row],[total_followers]]/(Table4[[#This Row],[total_time_streamed]] / 60)</f>
        <v>1912.3505976095619</v>
      </c>
      <c r="S853" t="str">
        <f>IF(Table4[[#This Row],[avg_games_per_stream]] &gt; 2, "Variety", "Focused")</f>
        <v>Focused</v>
      </c>
      <c r="T853" s="4">
        <f>Table4[[#This Row],[avg_viewers_per_stream]] / Table4[[#This Row],[total_followers]]</f>
        <v>1.628846153846154E-2</v>
      </c>
    </row>
    <row r="854" spans="1:20">
      <c r="A854">
        <v>854</v>
      </c>
      <c r="B854" t="s">
        <v>1101</v>
      </c>
      <c r="C854" t="s">
        <v>5</v>
      </c>
      <c r="D854" t="s">
        <v>39</v>
      </c>
      <c r="E854" t="s">
        <v>54</v>
      </c>
      <c r="F854" t="s">
        <v>46</v>
      </c>
      <c r="G854" s="3">
        <v>7.6</v>
      </c>
      <c r="H854">
        <v>2950</v>
      </c>
      <c r="I854">
        <v>2749</v>
      </c>
      <c r="J854">
        <v>1.3</v>
      </c>
      <c r="K854">
        <v>7612</v>
      </c>
      <c r="L854" s="2">
        <v>352000</v>
      </c>
      <c r="M854" s="2">
        <v>3280000</v>
      </c>
      <c r="N854">
        <v>74</v>
      </c>
      <c r="O854">
        <v>6.1</v>
      </c>
      <c r="P854" t="s">
        <v>19</v>
      </c>
      <c r="Q854" t="s">
        <v>16</v>
      </c>
      <c r="R854" s="2">
        <f>Table4[[#This Row],[total_followers]]/(Table4[[#This Row],[total_time_streamed]] / 60)</f>
        <v>2774.5664739884396</v>
      </c>
      <c r="S854" t="str">
        <f>IF(Table4[[#This Row],[avg_games_per_stream]] &gt; 2, "Variety", "Focused")</f>
        <v>Focused</v>
      </c>
      <c r="T854" s="4">
        <f>Table4[[#This Row],[avg_viewers_per_stream]] / Table4[[#This Row],[total_followers]]</f>
        <v>7.8096590909090911E-3</v>
      </c>
    </row>
    <row r="855" spans="1:20">
      <c r="A855">
        <v>855</v>
      </c>
      <c r="B855" t="s">
        <v>1102</v>
      </c>
      <c r="C855" t="s">
        <v>3</v>
      </c>
      <c r="D855" t="s">
        <v>39</v>
      </c>
      <c r="E855" t="s">
        <v>189</v>
      </c>
      <c r="G855" s="3">
        <v>6.4</v>
      </c>
      <c r="H855">
        <v>720</v>
      </c>
      <c r="I855">
        <v>1384</v>
      </c>
      <c r="J855">
        <v>1</v>
      </c>
      <c r="K855">
        <v>4691</v>
      </c>
      <c r="L855" s="2">
        <v>70400</v>
      </c>
      <c r="M855" s="2">
        <v>1350000</v>
      </c>
      <c r="N855">
        <v>1</v>
      </c>
      <c r="O855">
        <v>4.9000000000000004</v>
      </c>
      <c r="P855" t="s">
        <v>19</v>
      </c>
      <c r="Q855" t="s">
        <v>14</v>
      </c>
      <c r="R855" s="2">
        <f>Table4[[#This Row],[total_followers]]/(Table4[[#This Row],[total_time_streamed]] / 60)</f>
        <v>900.44766574291191</v>
      </c>
      <c r="S855" t="str">
        <f>IF(Table4[[#This Row],[avg_games_per_stream]] &gt; 2, "Variety", "Focused")</f>
        <v>Focused</v>
      </c>
      <c r="T855" s="4">
        <f>Table4[[#This Row],[avg_viewers_per_stream]] / Table4[[#This Row],[total_followers]]</f>
        <v>1.9659090909090911E-2</v>
      </c>
    </row>
    <row r="856" spans="1:20">
      <c r="A856">
        <v>856</v>
      </c>
      <c r="B856" t="s">
        <v>1103</v>
      </c>
      <c r="C856" t="s">
        <v>5</v>
      </c>
      <c r="D856" t="s">
        <v>39</v>
      </c>
      <c r="E856" t="s">
        <v>54</v>
      </c>
      <c r="F856" t="s">
        <v>46</v>
      </c>
      <c r="G856" s="3">
        <v>3.4</v>
      </c>
      <c r="H856">
        <v>2029</v>
      </c>
      <c r="I856">
        <v>1893</v>
      </c>
      <c r="J856">
        <v>1.1000000000000001</v>
      </c>
      <c r="K856">
        <v>4500</v>
      </c>
      <c r="L856" s="2">
        <v>331000</v>
      </c>
      <c r="M856" s="2">
        <v>308000</v>
      </c>
      <c r="N856">
        <v>16</v>
      </c>
      <c r="O856">
        <v>1.1000000000000001</v>
      </c>
      <c r="P856" t="s">
        <v>17</v>
      </c>
      <c r="Q856" t="s">
        <v>14</v>
      </c>
      <c r="R856" s="2">
        <f>Table4[[#This Row],[total_followers]]/(Table4[[#This Row],[total_time_streamed]] / 60)</f>
        <v>4413.333333333333</v>
      </c>
      <c r="S856" t="str">
        <f>IF(Table4[[#This Row],[avg_games_per_stream]] &gt; 2, "Variety", "Focused")</f>
        <v>Focused</v>
      </c>
      <c r="T856" s="4">
        <f>Table4[[#This Row],[avg_viewers_per_stream]] / Table4[[#This Row],[total_followers]]</f>
        <v>5.7190332326283984E-3</v>
      </c>
    </row>
    <row r="857" spans="1:20">
      <c r="A857">
        <v>857</v>
      </c>
      <c r="B857" t="s">
        <v>1104</v>
      </c>
      <c r="C857" t="s">
        <v>3</v>
      </c>
      <c r="D857" t="s">
        <v>39</v>
      </c>
      <c r="E857" t="s">
        <v>40</v>
      </c>
      <c r="F857" t="s">
        <v>224</v>
      </c>
      <c r="G857" s="3">
        <v>5.2</v>
      </c>
      <c r="H857">
        <v>2490</v>
      </c>
      <c r="I857">
        <v>0</v>
      </c>
      <c r="J857">
        <v>1.4</v>
      </c>
      <c r="K857">
        <v>2451</v>
      </c>
      <c r="L857" s="2">
        <v>124000</v>
      </c>
      <c r="M857" s="2">
        <v>2</v>
      </c>
      <c r="N857">
        <v>55</v>
      </c>
      <c r="O857">
        <v>5.2</v>
      </c>
      <c r="P857" t="s">
        <v>20</v>
      </c>
      <c r="Q857" t="s">
        <v>16</v>
      </c>
      <c r="R857" s="2">
        <f>Table4[[#This Row],[total_followers]]/(Table4[[#This Row],[total_time_streamed]] / 60)</f>
        <v>3035.4957160342715</v>
      </c>
      <c r="S857" t="str">
        <f>IF(Table4[[#This Row],[avg_games_per_stream]] &gt; 2, "Variety", "Focused")</f>
        <v>Focused</v>
      </c>
      <c r="T857" s="4">
        <f>Table4[[#This Row],[avg_viewers_per_stream]] / Table4[[#This Row],[total_followers]]</f>
        <v>0</v>
      </c>
    </row>
    <row r="858" spans="1:20">
      <c r="A858">
        <v>858</v>
      </c>
      <c r="B858" t="s">
        <v>1105</v>
      </c>
      <c r="C858" t="s">
        <v>7</v>
      </c>
      <c r="D858" t="s">
        <v>39</v>
      </c>
      <c r="E858" t="s">
        <v>104</v>
      </c>
      <c r="F858" t="s">
        <v>104</v>
      </c>
      <c r="G858" s="3">
        <v>3.2</v>
      </c>
      <c r="H858">
        <v>720</v>
      </c>
      <c r="I858">
        <v>1275</v>
      </c>
      <c r="J858">
        <v>1</v>
      </c>
      <c r="K858">
        <v>2888</v>
      </c>
      <c r="L858" s="2">
        <v>70700</v>
      </c>
      <c r="M858" s="2">
        <v>1250000</v>
      </c>
      <c r="N858">
        <v>14</v>
      </c>
      <c r="O858">
        <v>5.6</v>
      </c>
      <c r="P858" t="s">
        <v>14</v>
      </c>
      <c r="Q858" t="s">
        <v>15</v>
      </c>
      <c r="R858" s="2">
        <f>Table4[[#This Row],[total_followers]]/(Table4[[#This Row],[total_time_streamed]] / 60)</f>
        <v>1468.8365650969529</v>
      </c>
      <c r="S858" t="str">
        <f>IF(Table4[[#This Row],[avg_games_per_stream]] &gt; 2, "Variety", "Focused")</f>
        <v>Focused</v>
      </c>
      <c r="T858" s="4">
        <f>Table4[[#This Row],[avg_viewers_per_stream]] / Table4[[#This Row],[total_followers]]</f>
        <v>1.8033946251768036E-2</v>
      </c>
    </row>
    <row r="859" spans="1:20">
      <c r="A859">
        <v>859</v>
      </c>
      <c r="B859" t="s">
        <v>1106</v>
      </c>
      <c r="C859" t="s">
        <v>6</v>
      </c>
      <c r="D859" t="s">
        <v>39</v>
      </c>
      <c r="E859" t="s">
        <v>56</v>
      </c>
      <c r="F859" t="s">
        <v>64</v>
      </c>
      <c r="G859" s="3">
        <v>4.2</v>
      </c>
      <c r="H859">
        <v>1285</v>
      </c>
      <c r="I859">
        <v>3384</v>
      </c>
      <c r="J859">
        <v>1.3</v>
      </c>
      <c r="K859">
        <v>2353</v>
      </c>
      <c r="L859" s="2">
        <v>704000</v>
      </c>
      <c r="M859" s="2">
        <v>18300000</v>
      </c>
      <c r="N859">
        <v>21</v>
      </c>
      <c r="O859">
        <v>1.4</v>
      </c>
      <c r="P859" t="s">
        <v>20</v>
      </c>
      <c r="Q859" t="s">
        <v>14</v>
      </c>
      <c r="R859" s="2">
        <f>Table4[[#This Row],[total_followers]]/(Table4[[#This Row],[total_time_streamed]] / 60)</f>
        <v>17951.551211219718</v>
      </c>
      <c r="S859" t="str">
        <f>IF(Table4[[#This Row],[avg_games_per_stream]] &gt; 2, "Variety", "Focused")</f>
        <v>Focused</v>
      </c>
      <c r="T859" s="4">
        <f>Table4[[#This Row],[avg_viewers_per_stream]] / Table4[[#This Row],[total_followers]]</f>
        <v>4.8068181818181821E-3</v>
      </c>
    </row>
    <row r="860" spans="1:20">
      <c r="A860">
        <v>860</v>
      </c>
      <c r="B860" t="s">
        <v>1107</v>
      </c>
      <c r="C860" t="s">
        <v>160</v>
      </c>
      <c r="D860" t="s">
        <v>39</v>
      </c>
      <c r="E860" t="s">
        <v>40</v>
      </c>
      <c r="F860" t="s">
        <v>46</v>
      </c>
      <c r="G860" s="3">
        <v>4.5999999999999996</v>
      </c>
      <c r="H860">
        <v>7650</v>
      </c>
      <c r="I860">
        <v>12198</v>
      </c>
      <c r="J860">
        <v>2.9</v>
      </c>
      <c r="K860">
        <v>2658</v>
      </c>
      <c r="L860" s="2">
        <v>314000</v>
      </c>
      <c r="M860" s="2">
        <v>5000000</v>
      </c>
      <c r="N860">
        <v>182</v>
      </c>
      <c r="O860">
        <v>2.7</v>
      </c>
      <c r="P860" t="s">
        <v>17</v>
      </c>
      <c r="Q860" t="s">
        <v>14</v>
      </c>
      <c r="R860" s="2">
        <f>Table4[[#This Row],[total_followers]]/(Table4[[#This Row],[total_time_streamed]] / 60)</f>
        <v>7088.0361173814899</v>
      </c>
      <c r="S860" t="str">
        <f>IF(Table4[[#This Row],[avg_games_per_stream]] &gt; 2, "Variety", "Focused")</f>
        <v>Variety</v>
      </c>
      <c r="T860" s="4">
        <f>Table4[[#This Row],[avg_viewers_per_stream]] / Table4[[#This Row],[total_followers]]</f>
        <v>3.8847133757961783E-2</v>
      </c>
    </row>
    <row r="861" spans="1:20">
      <c r="A861">
        <v>861</v>
      </c>
      <c r="B861" t="s">
        <v>1108</v>
      </c>
      <c r="C861" t="s">
        <v>6</v>
      </c>
      <c r="D861" t="s">
        <v>39</v>
      </c>
      <c r="E861" t="s">
        <v>85</v>
      </c>
      <c r="F861" t="s">
        <v>632</v>
      </c>
      <c r="G861" s="3">
        <v>18.100000000000001</v>
      </c>
      <c r="H861">
        <v>310</v>
      </c>
      <c r="I861">
        <v>310</v>
      </c>
      <c r="J861">
        <v>1</v>
      </c>
      <c r="K861">
        <v>7408</v>
      </c>
      <c r="L861" s="2">
        <v>15200</v>
      </c>
      <c r="M861" s="2">
        <v>15200</v>
      </c>
      <c r="N861">
        <v>5</v>
      </c>
      <c r="O861">
        <v>2.4</v>
      </c>
      <c r="P861" t="s">
        <v>17</v>
      </c>
      <c r="Q861" t="s">
        <v>18</v>
      </c>
      <c r="R861" s="2">
        <f>Table4[[#This Row],[total_followers]]/(Table4[[#This Row],[total_time_streamed]] / 60)</f>
        <v>123.11015118790496</v>
      </c>
      <c r="S861" t="str">
        <f>IF(Table4[[#This Row],[avg_games_per_stream]] &gt; 2, "Variety", "Focused")</f>
        <v>Focused</v>
      </c>
      <c r="T861" s="4">
        <f>Table4[[#This Row],[avg_viewers_per_stream]] / Table4[[#This Row],[total_followers]]</f>
        <v>2.0394736842105264E-2</v>
      </c>
    </row>
    <row r="862" spans="1:20">
      <c r="A862">
        <v>862</v>
      </c>
      <c r="B862" t="s">
        <v>1109</v>
      </c>
      <c r="C862" t="s">
        <v>3</v>
      </c>
      <c r="D862" t="s">
        <v>39</v>
      </c>
      <c r="E862" t="s">
        <v>54</v>
      </c>
      <c r="F862" t="s">
        <v>319</v>
      </c>
      <c r="G862" s="3">
        <v>5.3</v>
      </c>
      <c r="H862">
        <v>3810</v>
      </c>
      <c r="I862">
        <v>8769</v>
      </c>
      <c r="J862">
        <v>1.2</v>
      </c>
      <c r="K862">
        <v>5904</v>
      </c>
      <c r="L862" s="2">
        <v>394000</v>
      </c>
      <c r="M862" s="2">
        <v>9080000</v>
      </c>
      <c r="N862">
        <v>34</v>
      </c>
      <c r="O862">
        <v>3</v>
      </c>
      <c r="P862" t="s">
        <v>18</v>
      </c>
      <c r="Q862" t="s">
        <v>18</v>
      </c>
      <c r="R862" s="2">
        <f>Table4[[#This Row],[total_followers]]/(Table4[[#This Row],[total_time_streamed]] / 60)</f>
        <v>4004.0650406504064</v>
      </c>
      <c r="S862" t="str">
        <f>IF(Table4[[#This Row],[avg_games_per_stream]] &gt; 2, "Variety", "Focused")</f>
        <v>Focused</v>
      </c>
      <c r="T862" s="4">
        <f>Table4[[#This Row],[avg_viewers_per_stream]] / Table4[[#This Row],[total_followers]]</f>
        <v>2.2256345177664973E-2</v>
      </c>
    </row>
    <row r="863" spans="1:20">
      <c r="A863">
        <v>863</v>
      </c>
      <c r="B863" t="s">
        <v>1110</v>
      </c>
      <c r="C863" t="s">
        <v>3</v>
      </c>
      <c r="D863" t="s">
        <v>39</v>
      </c>
      <c r="E863" t="s">
        <v>40</v>
      </c>
      <c r="F863" t="s">
        <v>66</v>
      </c>
      <c r="G863" s="3">
        <v>7.3</v>
      </c>
      <c r="H863">
        <v>3900</v>
      </c>
      <c r="I863">
        <v>3596</v>
      </c>
      <c r="J863">
        <v>1.8</v>
      </c>
      <c r="K863">
        <v>5695</v>
      </c>
      <c r="L863" s="2">
        <v>262000</v>
      </c>
      <c r="M863" s="2">
        <v>2410000</v>
      </c>
      <c r="N863">
        <v>134</v>
      </c>
      <c r="O863">
        <v>4.0999999999999996</v>
      </c>
      <c r="P863" t="s">
        <v>17</v>
      </c>
      <c r="Q863" t="s">
        <v>19</v>
      </c>
      <c r="R863" s="2">
        <f>Table4[[#This Row],[total_followers]]/(Table4[[#This Row],[total_time_streamed]] / 60)</f>
        <v>2760.3160667251973</v>
      </c>
      <c r="S863" t="str">
        <f>IF(Table4[[#This Row],[avg_games_per_stream]] &gt; 2, "Variety", "Focused")</f>
        <v>Focused</v>
      </c>
      <c r="T863" s="4">
        <f>Table4[[#This Row],[avg_viewers_per_stream]] / Table4[[#This Row],[total_followers]]</f>
        <v>1.3725190839694656E-2</v>
      </c>
    </row>
    <row r="864" spans="1:20">
      <c r="A864">
        <v>864</v>
      </c>
      <c r="B864" t="s">
        <v>1111</v>
      </c>
      <c r="C864" t="s">
        <v>63</v>
      </c>
      <c r="D864" t="s">
        <v>39</v>
      </c>
      <c r="E864" t="s">
        <v>595</v>
      </c>
      <c r="G864" s="3">
        <v>5.5</v>
      </c>
      <c r="H864">
        <v>40</v>
      </c>
      <c r="I864">
        <v>0</v>
      </c>
      <c r="J864">
        <v>1</v>
      </c>
      <c r="K864">
        <v>60</v>
      </c>
      <c r="L864" s="2">
        <v>5</v>
      </c>
      <c r="M864" s="2">
        <v>0</v>
      </c>
      <c r="N864">
        <v>1</v>
      </c>
      <c r="O864">
        <v>0.6</v>
      </c>
      <c r="P864" t="s">
        <v>19</v>
      </c>
      <c r="Q864" t="s">
        <v>19</v>
      </c>
      <c r="R864" s="2">
        <f>Table4[[#This Row],[total_followers]]/(Table4[[#This Row],[total_time_streamed]] / 60)</f>
        <v>5</v>
      </c>
      <c r="S864" t="str">
        <f>IF(Table4[[#This Row],[avg_games_per_stream]] &gt; 2, "Variety", "Focused")</f>
        <v>Focused</v>
      </c>
      <c r="T864" s="4">
        <f>Table4[[#This Row],[avg_viewers_per_stream]] / Table4[[#This Row],[total_followers]]</f>
        <v>0</v>
      </c>
    </row>
    <row r="865" spans="1:20">
      <c r="A865">
        <v>865</v>
      </c>
      <c r="B865" t="s">
        <v>1112</v>
      </c>
      <c r="C865" t="s">
        <v>7</v>
      </c>
      <c r="D865" t="s">
        <v>39</v>
      </c>
      <c r="E865" t="s">
        <v>56</v>
      </c>
      <c r="F865" t="s">
        <v>74</v>
      </c>
      <c r="G865" s="3">
        <v>3.5</v>
      </c>
      <c r="H865">
        <v>8847</v>
      </c>
      <c r="I865">
        <v>0</v>
      </c>
      <c r="J865">
        <v>1.5</v>
      </c>
      <c r="K865">
        <v>3450</v>
      </c>
      <c r="L865" s="2">
        <v>2470000</v>
      </c>
      <c r="M865" s="2">
        <v>0</v>
      </c>
      <c r="N865">
        <v>30</v>
      </c>
      <c r="O865">
        <v>3.4</v>
      </c>
      <c r="P865" t="s">
        <v>17</v>
      </c>
      <c r="Q865" t="s">
        <v>14</v>
      </c>
      <c r="R865" s="2">
        <f>Table4[[#This Row],[total_followers]]/(Table4[[#This Row],[total_time_streamed]] / 60)</f>
        <v>42956.521739130432</v>
      </c>
      <c r="S865" t="str">
        <f>IF(Table4[[#This Row],[avg_games_per_stream]] &gt; 2, "Variety", "Focused")</f>
        <v>Focused</v>
      </c>
      <c r="T865" s="4">
        <f>Table4[[#This Row],[avg_viewers_per_stream]] / Table4[[#This Row],[total_followers]]</f>
        <v>0</v>
      </c>
    </row>
    <row r="866" spans="1:20">
      <c r="A866">
        <v>866</v>
      </c>
      <c r="B866" t="s">
        <v>1113</v>
      </c>
      <c r="C866" t="s">
        <v>63</v>
      </c>
      <c r="D866" t="s">
        <v>39</v>
      </c>
      <c r="E866" t="s">
        <v>189</v>
      </c>
      <c r="F866" t="s">
        <v>53</v>
      </c>
      <c r="G866" s="3">
        <v>6</v>
      </c>
      <c r="H866">
        <v>580</v>
      </c>
      <c r="I866">
        <v>8070</v>
      </c>
      <c r="J866">
        <v>1.1000000000000001</v>
      </c>
      <c r="K866">
        <v>704</v>
      </c>
      <c r="L866" s="2">
        <v>69500</v>
      </c>
      <c r="M866" s="2">
        <v>971000</v>
      </c>
      <c r="N866">
        <v>49</v>
      </c>
      <c r="O866">
        <v>3.5</v>
      </c>
      <c r="P866" t="s">
        <v>15</v>
      </c>
      <c r="Q866" t="s">
        <v>18</v>
      </c>
      <c r="R866" s="2">
        <f>Table4[[#This Row],[total_followers]]/(Table4[[#This Row],[total_time_streamed]] / 60)</f>
        <v>5923.295454545455</v>
      </c>
      <c r="S866" t="str">
        <f>IF(Table4[[#This Row],[avg_games_per_stream]] &gt; 2, "Variety", "Focused")</f>
        <v>Focused</v>
      </c>
      <c r="T866" s="4">
        <f>Table4[[#This Row],[avg_viewers_per_stream]] / Table4[[#This Row],[total_followers]]</f>
        <v>0.11611510791366907</v>
      </c>
    </row>
    <row r="867" spans="1:20">
      <c r="A867">
        <v>867</v>
      </c>
      <c r="B867" t="s">
        <v>1114</v>
      </c>
      <c r="C867" t="s">
        <v>4</v>
      </c>
      <c r="D867" t="s">
        <v>39</v>
      </c>
      <c r="E867" t="s">
        <v>40</v>
      </c>
      <c r="F867" t="s">
        <v>224</v>
      </c>
      <c r="G867" s="3">
        <v>3.4</v>
      </c>
      <c r="H867">
        <v>3590</v>
      </c>
      <c r="I867">
        <v>3686</v>
      </c>
      <c r="J867">
        <v>2</v>
      </c>
      <c r="K867">
        <v>2001</v>
      </c>
      <c r="L867" s="2">
        <v>241000</v>
      </c>
      <c r="M867" s="2">
        <v>2370000</v>
      </c>
      <c r="N867">
        <v>330</v>
      </c>
      <c r="O867">
        <v>1.5</v>
      </c>
      <c r="P867" t="s">
        <v>15</v>
      </c>
      <c r="Q867" t="s">
        <v>15</v>
      </c>
      <c r="R867" s="2">
        <f>Table4[[#This Row],[total_followers]]/(Table4[[#This Row],[total_time_streamed]] / 60)</f>
        <v>7226.3868065967017</v>
      </c>
      <c r="S867" t="str">
        <f>IF(Table4[[#This Row],[avg_games_per_stream]] &gt; 2, "Variety", "Focused")</f>
        <v>Focused</v>
      </c>
      <c r="T867" s="4">
        <f>Table4[[#This Row],[avg_viewers_per_stream]] / Table4[[#This Row],[total_followers]]</f>
        <v>1.5294605809128631E-2</v>
      </c>
    </row>
    <row r="868" spans="1:20">
      <c r="A868">
        <v>868</v>
      </c>
      <c r="B868" t="s">
        <v>1115</v>
      </c>
      <c r="C868" t="s">
        <v>3</v>
      </c>
      <c r="D868" t="s">
        <v>39</v>
      </c>
      <c r="E868" t="s">
        <v>74</v>
      </c>
      <c r="F868" t="s">
        <v>821</v>
      </c>
      <c r="G868" s="3">
        <v>6.6</v>
      </c>
      <c r="H868">
        <v>2586</v>
      </c>
      <c r="I868">
        <v>41334</v>
      </c>
      <c r="J868">
        <v>1.3</v>
      </c>
      <c r="K868">
        <v>1584</v>
      </c>
      <c r="L868" s="2">
        <v>6940000</v>
      </c>
      <c r="M868" s="2">
        <v>112000000</v>
      </c>
      <c r="N868">
        <v>68</v>
      </c>
      <c r="O868">
        <v>6.1</v>
      </c>
      <c r="P868" t="s">
        <v>17</v>
      </c>
      <c r="Q868" t="s">
        <v>14</v>
      </c>
      <c r="R868" s="2">
        <f>Table4[[#This Row],[total_followers]]/(Table4[[#This Row],[total_time_streamed]] / 60)</f>
        <v>262878.7878787879</v>
      </c>
      <c r="S868" t="str">
        <f>IF(Table4[[#This Row],[avg_games_per_stream]] &gt; 2, "Variety", "Focused")</f>
        <v>Focused</v>
      </c>
      <c r="T868" s="4">
        <f>Table4[[#This Row],[avg_viewers_per_stream]] / Table4[[#This Row],[total_followers]]</f>
        <v>5.9559077809798267E-3</v>
      </c>
    </row>
    <row r="869" spans="1:20">
      <c r="A869">
        <v>869</v>
      </c>
      <c r="B869" t="s">
        <v>1116</v>
      </c>
      <c r="C869" t="s">
        <v>7</v>
      </c>
      <c r="D869" t="s">
        <v>39</v>
      </c>
      <c r="E869" t="s">
        <v>40</v>
      </c>
      <c r="F869" t="s">
        <v>74</v>
      </c>
      <c r="G869" s="3">
        <v>3.5</v>
      </c>
      <c r="H869">
        <v>1779</v>
      </c>
      <c r="I869">
        <v>3098</v>
      </c>
      <c r="J869">
        <v>2.2000000000000002</v>
      </c>
      <c r="K869">
        <v>1982</v>
      </c>
      <c r="L869" s="2">
        <v>821000</v>
      </c>
      <c r="M869" s="2">
        <v>14300000</v>
      </c>
      <c r="N869">
        <v>178</v>
      </c>
      <c r="O869">
        <v>1.7</v>
      </c>
      <c r="P869" t="s">
        <v>19</v>
      </c>
      <c r="Q869" t="s">
        <v>14</v>
      </c>
      <c r="R869" s="2">
        <f>Table4[[#This Row],[total_followers]]/(Table4[[#This Row],[total_time_streamed]] / 60)</f>
        <v>24853.683148335018</v>
      </c>
      <c r="S869" t="str">
        <f>IF(Table4[[#This Row],[avg_games_per_stream]] &gt; 2, "Variety", "Focused")</f>
        <v>Variety</v>
      </c>
      <c r="T869" s="4">
        <f>Table4[[#This Row],[avg_viewers_per_stream]] / Table4[[#This Row],[total_followers]]</f>
        <v>3.7734470158343482E-3</v>
      </c>
    </row>
    <row r="870" spans="1:20">
      <c r="A870">
        <v>870</v>
      </c>
      <c r="B870" t="s">
        <v>1117</v>
      </c>
      <c r="C870" t="s">
        <v>7</v>
      </c>
      <c r="D870" t="s">
        <v>39</v>
      </c>
      <c r="E870" t="s">
        <v>233</v>
      </c>
      <c r="F870" t="s">
        <v>109</v>
      </c>
      <c r="G870" s="3">
        <v>4.9000000000000004</v>
      </c>
      <c r="H870">
        <v>3740</v>
      </c>
      <c r="I870">
        <v>14417</v>
      </c>
      <c r="J870">
        <v>1.3</v>
      </c>
      <c r="K870">
        <v>7242</v>
      </c>
      <c r="L870" s="2">
        <v>476000</v>
      </c>
      <c r="M870" s="2">
        <v>18400000</v>
      </c>
      <c r="N870">
        <v>66</v>
      </c>
      <c r="O870">
        <v>3.8</v>
      </c>
      <c r="P870" t="s">
        <v>18</v>
      </c>
      <c r="Q870" t="s">
        <v>20</v>
      </c>
      <c r="R870" s="2">
        <f>Table4[[#This Row],[total_followers]]/(Table4[[#This Row],[total_time_streamed]] / 60)</f>
        <v>3943.6619718309857</v>
      </c>
      <c r="S870" t="str">
        <f>IF(Table4[[#This Row],[avg_games_per_stream]] &gt; 2, "Variety", "Focused")</f>
        <v>Focused</v>
      </c>
      <c r="T870" s="4">
        <f>Table4[[#This Row],[avg_viewers_per_stream]] / Table4[[#This Row],[total_followers]]</f>
        <v>3.0287815126050419E-2</v>
      </c>
    </row>
    <row r="871" spans="1:20">
      <c r="A871">
        <v>871</v>
      </c>
      <c r="B871" t="s">
        <v>1118</v>
      </c>
      <c r="C871" t="s">
        <v>3</v>
      </c>
      <c r="D871" t="s">
        <v>39</v>
      </c>
      <c r="E871" t="s">
        <v>74</v>
      </c>
      <c r="F871" t="s">
        <v>54</v>
      </c>
      <c r="G871" s="3">
        <v>3.5</v>
      </c>
      <c r="H871">
        <v>423</v>
      </c>
      <c r="I871">
        <v>86632</v>
      </c>
      <c r="J871">
        <v>1.1000000000000001</v>
      </c>
      <c r="K871">
        <v>3332</v>
      </c>
      <c r="L871" s="2">
        <v>4030000</v>
      </c>
      <c r="M871" s="2">
        <v>82500000</v>
      </c>
      <c r="N871">
        <v>23</v>
      </c>
      <c r="O871">
        <v>3</v>
      </c>
      <c r="P871" t="s">
        <v>19</v>
      </c>
      <c r="Q871" t="s">
        <v>15</v>
      </c>
      <c r="R871" s="2">
        <f>Table4[[#This Row],[total_followers]]/(Table4[[#This Row],[total_time_streamed]] / 60)</f>
        <v>72569.027611044425</v>
      </c>
      <c r="S871" t="str">
        <f>IF(Table4[[#This Row],[avg_games_per_stream]] &gt; 2, "Variety", "Focused")</f>
        <v>Focused</v>
      </c>
      <c r="T871" s="4">
        <f>Table4[[#This Row],[avg_viewers_per_stream]] / Table4[[#This Row],[total_followers]]</f>
        <v>2.1496774193548385E-2</v>
      </c>
    </row>
    <row r="872" spans="1:20">
      <c r="A872">
        <v>872</v>
      </c>
      <c r="B872" t="s">
        <v>1119</v>
      </c>
      <c r="C872" t="s">
        <v>3</v>
      </c>
      <c r="D872" t="s">
        <v>39</v>
      </c>
      <c r="E872" t="s">
        <v>56</v>
      </c>
      <c r="F872" t="s">
        <v>40</v>
      </c>
      <c r="G872" s="3">
        <v>6.4</v>
      </c>
      <c r="H872">
        <v>960</v>
      </c>
      <c r="I872">
        <v>3710</v>
      </c>
      <c r="J872">
        <v>2.7</v>
      </c>
      <c r="K872">
        <v>6991</v>
      </c>
      <c r="L872" s="2">
        <v>103000</v>
      </c>
      <c r="M872" s="2">
        <v>398000</v>
      </c>
      <c r="N872">
        <v>371</v>
      </c>
      <c r="O872">
        <v>4</v>
      </c>
      <c r="P872" t="s">
        <v>14</v>
      </c>
      <c r="Q872" t="s">
        <v>15</v>
      </c>
      <c r="R872" s="2">
        <f>Table4[[#This Row],[total_followers]]/(Table4[[#This Row],[total_time_streamed]] / 60)</f>
        <v>883.99370619367755</v>
      </c>
      <c r="S872" t="str">
        <f>IF(Table4[[#This Row],[avg_games_per_stream]] &gt; 2, "Variety", "Focused")</f>
        <v>Variety</v>
      </c>
      <c r="T872" s="4">
        <f>Table4[[#This Row],[avg_viewers_per_stream]] / Table4[[#This Row],[total_followers]]</f>
        <v>3.6019417475728156E-2</v>
      </c>
    </row>
    <row r="873" spans="1:20">
      <c r="A873">
        <v>873</v>
      </c>
      <c r="B873" t="s">
        <v>1120</v>
      </c>
      <c r="C873" t="s">
        <v>4</v>
      </c>
      <c r="D873" t="s">
        <v>39</v>
      </c>
      <c r="E873" t="s">
        <v>145</v>
      </c>
      <c r="F873" t="s">
        <v>193</v>
      </c>
      <c r="G873" s="3">
        <v>3.6</v>
      </c>
      <c r="H873">
        <v>3400</v>
      </c>
      <c r="I873">
        <v>4527</v>
      </c>
      <c r="J873">
        <v>1.1000000000000001</v>
      </c>
      <c r="K873">
        <v>535</v>
      </c>
      <c r="L873" s="2">
        <v>475000</v>
      </c>
      <c r="M873" s="2">
        <v>6330000</v>
      </c>
      <c r="N873">
        <v>38</v>
      </c>
      <c r="O873">
        <v>3.9</v>
      </c>
      <c r="P873" t="s">
        <v>14</v>
      </c>
      <c r="Q873" t="s">
        <v>14</v>
      </c>
      <c r="R873" s="2">
        <f>Table4[[#This Row],[total_followers]]/(Table4[[#This Row],[total_time_streamed]] / 60)</f>
        <v>53271.028037383185</v>
      </c>
      <c r="S873" t="str">
        <f>IF(Table4[[#This Row],[avg_games_per_stream]] &gt; 2, "Variety", "Focused")</f>
        <v>Focused</v>
      </c>
      <c r="T873" s="4">
        <f>Table4[[#This Row],[avg_viewers_per_stream]] / Table4[[#This Row],[total_followers]]</f>
        <v>9.5305263157894737E-3</v>
      </c>
    </row>
    <row r="874" spans="1:20">
      <c r="A874">
        <v>874</v>
      </c>
      <c r="B874" t="s">
        <v>1121</v>
      </c>
      <c r="C874" t="s">
        <v>63</v>
      </c>
      <c r="D874" t="s">
        <v>39</v>
      </c>
      <c r="E874" t="s">
        <v>595</v>
      </c>
      <c r="G874" s="3">
        <v>5.2</v>
      </c>
      <c r="H874">
        <v>0</v>
      </c>
      <c r="I874">
        <v>0</v>
      </c>
      <c r="J874">
        <v>1</v>
      </c>
      <c r="K874">
        <v>100</v>
      </c>
      <c r="L874" s="2">
        <v>0</v>
      </c>
      <c r="M874" s="2">
        <v>0</v>
      </c>
      <c r="N874">
        <v>1</v>
      </c>
      <c r="O874">
        <v>2</v>
      </c>
      <c r="P874" t="s">
        <v>17</v>
      </c>
      <c r="Q874" t="s">
        <v>17</v>
      </c>
      <c r="R874" s="2">
        <f>Table4[[#This Row],[total_followers]]/(Table4[[#This Row],[total_time_streamed]] / 60)</f>
        <v>0</v>
      </c>
      <c r="S874" t="str">
        <f>IF(Table4[[#This Row],[avg_games_per_stream]] &gt; 2, "Variety", "Focused")</f>
        <v>Focused</v>
      </c>
      <c r="T874" s="4" t="e">
        <f>Table4[[#This Row],[avg_viewers_per_stream]] / Table4[[#This Row],[total_followers]]</f>
        <v>#DIV/0!</v>
      </c>
    </row>
    <row r="875" spans="1:20">
      <c r="A875">
        <v>875</v>
      </c>
      <c r="B875" t="s">
        <v>1122</v>
      </c>
      <c r="C875" t="s">
        <v>3</v>
      </c>
      <c r="D875" t="s">
        <v>39</v>
      </c>
      <c r="E875" t="s">
        <v>1123</v>
      </c>
      <c r="F875" t="s">
        <v>1124</v>
      </c>
      <c r="G875" s="3">
        <v>7.3</v>
      </c>
      <c r="H875">
        <v>760</v>
      </c>
      <c r="I875">
        <v>4783</v>
      </c>
      <c r="J875">
        <v>2.4</v>
      </c>
      <c r="K875">
        <v>17502</v>
      </c>
      <c r="L875" s="2">
        <v>182000</v>
      </c>
      <c r="M875" s="2">
        <v>11000000</v>
      </c>
      <c r="N875">
        <v>646</v>
      </c>
      <c r="O875">
        <v>6.1</v>
      </c>
      <c r="P875" t="s">
        <v>20</v>
      </c>
      <c r="Q875" t="s">
        <v>20</v>
      </c>
      <c r="R875" s="2">
        <f>Table4[[#This Row],[total_followers]]/(Table4[[#This Row],[total_time_streamed]] / 60)</f>
        <v>623.92869386355846</v>
      </c>
      <c r="S875" t="str">
        <f>IF(Table4[[#This Row],[avg_games_per_stream]] &gt; 2, "Variety", "Focused")</f>
        <v>Variety</v>
      </c>
      <c r="T875" s="4">
        <f>Table4[[#This Row],[avg_viewers_per_stream]] / Table4[[#This Row],[total_followers]]</f>
        <v>2.6280219780219782E-2</v>
      </c>
    </row>
    <row r="876" spans="1:20">
      <c r="A876">
        <v>876</v>
      </c>
      <c r="B876" t="s">
        <v>1125</v>
      </c>
      <c r="C876" t="s">
        <v>3</v>
      </c>
      <c r="D876" t="s">
        <v>39</v>
      </c>
      <c r="E876" t="s">
        <v>189</v>
      </c>
      <c r="F876" t="s">
        <v>273</v>
      </c>
      <c r="G876" s="3">
        <v>6.5</v>
      </c>
      <c r="H876">
        <v>2800</v>
      </c>
      <c r="I876">
        <v>4874</v>
      </c>
      <c r="J876">
        <v>1.1000000000000001</v>
      </c>
      <c r="K876">
        <v>13412</v>
      </c>
      <c r="L876" s="2">
        <v>796000</v>
      </c>
      <c r="M876" s="2">
        <v>114000000</v>
      </c>
      <c r="N876">
        <v>48</v>
      </c>
      <c r="O876">
        <v>5.3</v>
      </c>
      <c r="P876" t="s">
        <v>17</v>
      </c>
      <c r="Q876" t="s">
        <v>15</v>
      </c>
      <c r="R876" s="2">
        <f>Table4[[#This Row],[total_followers]]/(Table4[[#This Row],[total_time_streamed]] / 60)</f>
        <v>3560.9901580674023</v>
      </c>
      <c r="S876" t="str">
        <f>IF(Table4[[#This Row],[avg_games_per_stream]] &gt; 2, "Variety", "Focused")</f>
        <v>Focused</v>
      </c>
      <c r="T876" s="4">
        <f>Table4[[#This Row],[avg_viewers_per_stream]] / Table4[[#This Row],[total_followers]]</f>
        <v>6.1231155778894474E-3</v>
      </c>
    </row>
    <row r="877" spans="1:20">
      <c r="A877">
        <v>877</v>
      </c>
      <c r="B877" t="s">
        <v>1126</v>
      </c>
      <c r="C877" t="s">
        <v>3</v>
      </c>
      <c r="D877" t="s">
        <v>39</v>
      </c>
      <c r="E877" t="s">
        <v>199</v>
      </c>
      <c r="F877" t="s">
        <v>53</v>
      </c>
      <c r="G877" s="3">
        <v>8.6</v>
      </c>
      <c r="H877">
        <v>870</v>
      </c>
      <c r="I877">
        <v>23953</v>
      </c>
      <c r="J877">
        <v>1.5</v>
      </c>
      <c r="K877">
        <v>23479</v>
      </c>
      <c r="L877" s="2">
        <v>846000</v>
      </c>
      <c r="M877" s="2">
        <v>149000000</v>
      </c>
      <c r="N877">
        <v>1300</v>
      </c>
      <c r="O877">
        <v>6.7</v>
      </c>
      <c r="P877" t="s">
        <v>18</v>
      </c>
      <c r="Q877" t="s">
        <v>14</v>
      </c>
      <c r="R877" s="2">
        <f>Table4[[#This Row],[total_followers]]/(Table4[[#This Row],[total_time_streamed]] / 60)</f>
        <v>2161.9319391796926</v>
      </c>
      <c r="S877" t="str">
        <f>IF(Table4[[#This Row],[avg_games_per_stream]] &gt; 2, "Variety", "Focused")</f>
        <v>Focused</v>
      </c>
      <c r="T877" s="4">
        <f>Table4[[#This Row],[avg_viewers_per_stream]] / Table4[[#This Row],[total_followers]]</f>
        <v>2.8313238770685579E-2</v>
      </c>
    </row>
    <row r="878" spans="1:20">
      <c r="A878">
        <v>878</v>
      </c>
      <c r="B878" t="s">
        <v>1127</v>
      </c>
      <c r="C878" t="s">
        <v>3</v>
      </c>
      <c r="D878" t="s">
        <v>39</v>
      </c>
      <c r="E878" t="s">
        <v>40</v>
      </c>
      <c r="F878" t="s">
        <v>51</v>
      </c>
      <c r="G878" s="3">
        <v>3.6</v>
      </c>
      <c r="H878">
        <v>6210</v>
      </c>
      <c r="I878">
        <v>1478</v>
      </c>
      <c r="J878">
        <v>1.8</v>
      </c>
      <c r="K878">
        <v>3411</v>
      </c>
      <c r="L878" s="2">
        <v>474000</v>
      </c>
      <c r="M878" s="2">
        <v>1130000</v>
      </c>
      <c r="N878">
        <v>219</v>
      </c>
      <c r="O878">
        <v>5.4</v>
      </c>
      <c r="P878" t="s">
        <v>20</v>
      </c>
      <c r="Q878" t="s">
        <v>14</v>
      </c>
      <c r="R878" s="2">
        <f>Table4[[#This Row],[total_followers]]/(Table4[[#This Row],[total_time_streamed]] / 60)</f>
        <v>8337.7308707124012</v>
      </c>
      <c r="S878" t="str">
        <f>IF(Table4[[#This Row],[avg_games_per_stream]] &gt; 2, "Variety", "Focused")</f>
        <v>Focused</v>
      </c>
      <c r="T878" s="4">
        <f>Table4[[#This Row],[avg_viewers_per_stream]] / Table4[[#This Row],[total_followers]]</f>
        <v>3.118143459915612E-3</v>
      </c>
    </row>
    <row r="879" spans="1:20">
      <c r="A879">
        <v>879</v>
      </c>
      <c r="B879" t="s">
        <v>1128</v>
      </c>
      <c r="C879" t="s">
        <v>6</v>
      </c>
      <c r="D879" t="s">
        <v>39</v>
      </c>
      <c r="E879" t="s">
        <v>40</v>
      </c>
      <c r="F879" t="s">
        <v>12</v>
      </c>
      <c r="G879" s="3">
        <v>2.8</v>
      </c>
      <c r="H879">
        <v>1811</v>
      </c>
      <c r="I879">
        <v>6450</v>
      </c>
      <c r="J879">
        <v>1</v>
      </c>
      <c r="K879">
        <v>3630</v>
      </c>
      <c r="L879" s="2">
        <v>234000</v>
      </c>
      <c r="M879" s="2">
        <v>87600</v>
      </c>
      <c r="N879">
        <v>3</v>
      </c>
      <c r="O879">
        <v>1</v>
      </c>
      <c r="P879" t="s">
        <v>14</v>
      </c>
      <c r="Q879" t="s">
        <v>16</v>
      </c>
      <c r="R879" s="2">
        <f>Table4[[#This Row],[total_followers]]/(Table4[[#This Row],[total_time_streamed]] / 60)</f>
        <v>3867.7685950413224</v>
      </c>
      <c r="S879" t="str">
        <f>IF(Table4[[#This Row],[avg_games_per_stream]] &gt; 2, "Variety", "Focused")</f>
        <v>Focused</v>
      </c>
      <c r="T879" s="4">
        <f>Table4[[#This Row],[avg_viewers_per_stream]] / Table4[[#This Row],[total_followers]]</f>
        <v>2.7564102564102563E-2</v>
      </c>
    </row>
    <row r="880" spans="1:20">
      <c r="A880">
        <v>880</v>
      </c>
      <c r="B880" t="s">
        <v>1129</v>
      </c>
      <c r="C880" t="s">
        <v>3</v>
      </c>
      <c r="D880" t="s">
        <v>39</v>
      </c>
      <c r="E880" t="s">
        <v>79</v>
      </c>
      <c r="F880" t="s">
        <v>46</v>
      </c>
      <c r="G880" s="3">
        <v>5.7</v>
      </c>
      <c r="H880">
        <v>2770</v>
      </c>
      <c r="I880">
        <v>8004</v>
      </c>
      <c r="J880">
        <v>1.4</v>
      </c>
      <c r="K880">
        <v>8936</v>
      </c>
      <c r="L880" s="2">
        <v>461000</v>
      </c>
      <c r="M880" s="2">
        <v>12300000</v>
      </c>
      <c r="N880">
        <v>202</v>
      </c>
      <c r="O880">
        <v>4</v>
      </c>
      <c r="P880" t="s">
        <v>17</v>
      </c>
      <c r="Q880" t="s">
        <v>14</v>
      </c>
      <c r="R880" s="2">
        <f>Table4[[#This Row],[total_followers]]/(Table4[[#This Row],[total_time_streamed]] / 60)</f>
        <v>3095.3446732318712</v>
      </c>
      <c r="S880" t="str">
        <f>IF(Table4[[#This Row],[avg_games_per_stream]] &gt; 2, "Variety", "Focused")</f>
        <v>Focused</v>
      </c>
      <c r="T880" s="4">
        <f>Table4[[#This Row],[avg_viewers_per_stream]] / Table4[[#This Row],[total_followers]]</f>
        <v>1.7362255965292842E-2</v>
      </c>
    </row>
    <row r="881" spans="1:20">
      <c r="A881">
        <v>881</v>
      </c>
      <c r="B881" t="s">
        <v>1130</v>
      </c>
      <c r="C881" t="s">
        <v>3</v>
      </c>
      <c r="D881" t="s">
        <v>39</v>
      </c>
      <c r="E881" t="s">
        <v>1131</v>
      </c>
      <c r="F881" t="s">
        <v>51</v>
      </c>
      <c r="G881" s="3">
        <v>3.9</v>
      </c>
      <c r="H881">
        <v>8900</v>
      </c>
      <c r="I881">
        <v>13884</v>
      </c>
      <c r="J881">
        <v>1.2</v>
      </c>
      <c r="K881">
        <v>5286</v>
      </c>
      <c r="L881" s="2">
        <v>1170000</v>
      </c>
      <c r="M881" s="2">
        <v>18300000</v>
      </c>
      <c r="N881">
        <v>483</v>
      </c>
      <c r="O881">
        <v>3.5</v>
      </c>
      <c r="P881" t="s">
        <v>14</v>
      </c>
      <c r="Q881" t="s">
        <v>15</v>
      </c>
      <c r="R881" s="2">
        <f>Table4[[#This Row],[total_followers]]/(Table4[[#This Row],[total_time_streamed]] / 60)</f>
        <v>13280.363223609536</v>
      </c>
      <c r="S881" t="str">
        <f>IF(Table4[[#This Row],[avg_games_per_stream]] &gt; 2, "Variety", "Focused")</f>
        <v>Focused</v>
      </c>
      <c r="T881" s="4">
        <f>Table4[[#This Row],[avg_viewers_per_stream]] / Table4[[#This Row],[total_followers]]</f>
        <v>1.1866666666666666E-2</v>
      </c>
    </row>
    <row r="882" spans="1:20">
      <c r="A882">
        <v>882</v>
      </c>
      <c r="B882" t="s">
        <v>1132</v>
      </c>
      <c r="C882" t="s">
        <v>5</v>
      </c>
      <c r="D882" t="s">
        <v>39</v>
      </c>
      <c r="E882" t="s">
        <v>40</v>
      </c>
      <c r="F882" t="s">
        <v>765</v>
      </c>
      <c r="G882" s="3">
        <v>4.5</v>
      </c>
      <c r="H882">
        <v>3910</v>
      </c>
      <c r="I882">
        <v>7190</v>
      </c>
      <c r="J882">
        <v>1.1000000000000001</v>
      </c>
      <c r="K882">
        <v>4030</v>
      </c>
      <c r="L882" s="2">
        <v>51200</v>
      </c>
      <c r="M882" s="2">
        <v>93800</v>
      </c>
      <c r="N882">
        <v>25</v>
      </c>
      <c r="O882">
        <v>0.5</v>
      </c>
      <c r="P882" t="s">
        <v>18</v>
      </c>
      <c r="Q882" t="s">
        <v>19</v>
      </c>
      <c r="R882" s="2">
        <f>Table4[[#This Row],[total_followers]]/(Table4[[#This Row],[total_time_streamed]] / 60)</f>
        <v>762.28287841191059</v>
      </c>
      <c r="S882" t="str">
        <f>IF(Table4[[#This Row],[avg_games_per_stream]] &gt; 2, "Variety", "Focused")</f>
        <v>Focused</v>
      </c>
      <c r="T882" s="4">
        <f>Table4[[#This Row],[avg_viewers_per_stream]] / Table4[[#This Row],[total_followers]]</f>
        <v>0.14042968750000001</v>
      </c>
    </row>
    <row r="883" spans="1:20">
      <c r="A883">
        <v>883</v>
      </c>
      <c r="B883" t="s">
        <v>1133</v>
      </c>
      <c r="C883" t="s">
        <v>3</v>
      </c>
      <c r="D883" t="s">
        <v>39</v>
      </c>
      <c r="E883" t="s">
        <v>40</v>
      </c>
      <c r="F883" t="s">
        <v>66</v>
      </c>
      <c r="G883" s="3">
        <v>4.5999999999999996</v>
      </c>
      <c r="H883">
        <v>2520</v>
      </c>
      <c r="I883">
        <v>1970</v>
      </c>
      <c r="J883">
        <v>2.1</v>
      </c>
      <c r="K883">
        <v>3778</v>
      </c>
      <c r="L883" s="2">
        <v>161000</v>
      </c>
      <c r="M883" s="2">
        <v>127000</v>
      </c>
      <c r="N883">
        <v>231</v>
      </c>
      <c r="O883">
        <v>4.8</v>
      </c>
      <c r="P883" t="s">
        <v>19</v>
      </c>
      <c r="Q883" t="s">
        <v>14</v>
      </c>
      <c r="R883" s="2">
        <f>Table4[[#This Row],[total_followers]]/(Table4[[#This Row],[total_time_streamed]] / 60)</f>
        <v>2556.9084171519321</v>
      </c>
      <c r="S883" t="str">
        <f>IF(Table4[[#This Row],[avg_games_per_stream]] &gt; 2, "Variety", "Focused")</f>
        <v>Variety</v>
      </c>
      <c r="T883" s="4">
        <f>Table4[[#This Row],[avg_viewers_per_stream]] / Table4[[#This Row],[total_followers]]</f>
        <v>1.2236024844720497E-2</v>
      </c>
    </row>
    <row r="884" spans="1:20">
      <c r="A884">
        <v>884</v>
      </c>
      <c r="B884" t="s">
        <v>1134</v>
      </c>
      <c r="C884" t="s">
        <v>7</v>
      </c>
      <c r="D884" t="s">
        <v>39</v>
      </c>
      <c r="E884" t="s">
        <v>240</v>
      </c>
      <c r="F884" t="s">
        <v>12</v>
      </c>
      <c r="G884" s="3">
        <v>8.6999999999999993</v>
      </c>
      <c r="H884">
        <v>5230</v>
      </c>
      <c r="I884">
        <v>5340</v>
      </c>
      <c r="J884">
        <v>1</v>
      </c>
      <c r="K884">
        <v>6194</v>
      </c>
      <c r="L884" s="2">
        <v>402000</v>
      </c>
      <c r="M884" s="2">
        <v>411000</v>
      </c>
      <c r="N884">
        <v>3</v>
      </c>
      <c r="O884">
        <v>5</v>
      </c>
      <c r="P884" t="s">
        <v>19</v>
      </c>
      <c r="Q884" t="s">
        <v>17</v>
      </c>
      <c r="R884" s="2">
        <f>Table4[[#This Row],[total_followers]]/(Table4[[#This Row],[total_time_streamed]] / 60)</f>
        <v>3894.0910558605101</v>
      </c>
      <c r="S884" t="str">
        <f>IF(Table4[[#This Row],[avg_games_per_stream]] &gt; 2, "Variety", "Focused")</f>
        <v>Focused</v>
      </c>
      <c r="T884" s="4">
        <f>Table4[[#This Row],[avg_viewers_per_stream]] / Table4[[#This Row],[total_followers]]</f>
        <v>1.3283582089552239E-2</v>
      </c>
    </row>
    <row r="885" spans="1:20">
      <c r="A885">
        <v>885</v>
      </c>
      <c r="B885" t="s">
        <v>1135</v>
      </c>
      <c r="C885" t="s">
        <v>3</v>
      </c>
      <c r="D885" t="s">
        <v>39</v>
      </c>
      <c r="E885" t="s">
        <v>334</v>
      </c>
      <c r="F885" t="s">
        <v>224</v>
      </c>
      <c r="G885" s="3">
        <v>6.8</v>
      </c>
      <c r="H885">
        <v>1360</v>
      </c>
      <c r="I885">
        <v>3659</v>
      </c>
      <c r="J885">
        <v>1.3</v>
      </c>
      <c r="K885">
        <v>7866</v>
      </c>
      <c r="L885" s="2">
        <v>159000</v>
      </c>
      <c r="M885" s="2">
        <v>4280000</v>
      </c>
      <c r="N885">
        <v>46</v>
      </c>
      <c r="O885">
        <v>3.3</v>
      </c>
      <c r="P885" t="s">
        <v>16</v>
      </c>
      <c r="Q885" t="s">
        <v>18</v>
      </c>
      <c r="R885" s="2">
        <f>Table4[[#This Row],[total_followers]]/(Table4[[#This Row],[total_time_streamed]] / 60)</f>
        <v>1212.8146453089246</v>
      </c>
      <c r="S885" t="str">
        <f>IF(Table4[[#This Row],[avg_games_per_stream]] &gt; 2, "Variety", "Focused")</f>
        <v>Focused</v>
      </c>
      <c r="T885" s="4">
        <f>Table4[[#This Row],[avg_viewers_per_stream]] / Table4[[#This Row],[total_followers]]</f>
        <v>2.3012578616352201E-2</v>
      </c>
    </row>
    <row r="886" spans="1:20">
      <c r="A886">
        <v>886</v>
      </c>
      <c r="B886" t="s">
        <v>1136</v>
      </c>
      <c r="C886" t="s">
        <v>63</v>
      </c>
      <c r="D886" t="s">
        <v>39</v>
      </c>
      <c r="E886" t="s">
        <v>595</v>
      </c>
      <c r="G886" s="3">
        <v>8.3000000000000007</v>
      </c>
      <c r="H886">
        <v>8640</v>
      </c>
      <c r="I886">
        <v>0</v>
      </c>
      <c r="J886">
        <v>1</v>
      </c>
      <c r="K886">
        <v>170</v>
      </c>
      <c r="L886" s="2">
        <v>864</v>
      </c>
      <c r="M886" s="2">
        <v>0</v>
      </c>
      <c r="N886">
        <v>1</v>
      </c>
      <c r="O886">
        <v>0.4</v>
      </c>
      <c r="P886" t="s">
        <v>20</v>
      </c>
      <c r="Q886" t="s">
        <v>18</v>
      </c>
      <c r="R886" s="2">
        <f>Table4[[#This Row],[total_followers]]/(Table4[[#This Row],[total_time_streamed]] / 60)</f>
        <v>304.94117647058823</v>
      </c>
      <c r="S886" t="str">
        <f>IF(Table4[[#This Row],[avg_games_per_stream]] &gt; 2, "Variety", "Focused")</f>
        <v>Focused</v>
      </c>
      <c r="T886" s="4">
        <f>Table4[[#This Row],[avg_viewers_per_stream]] / Table4[[#This Row],[total_followers]]</f>
        <v>0</v>
      </c>
    </row>
    <row r="887" spans="1:20">
      <c r="A887">
        <v>887</v>
      </c>
      <c r="B887" t="s">
        <v>1137</v>
      </c>
      <c r="C887" t="s">
        <v>3</v>
      </c>
      <c r="D887" t="s">
        <v>39</v>
      </c>
      <c r="E887" t="s">
        <v>40</v>
      </c>
      <c r="F887" t="s">
        <v>41</v>
      </c>
      <c r="G887" s="3">
        <v>5.5</v>
      </c>
      <c r="H887">
        <v>9440</v>
      </c>
      <c r="I887">
        <v>3847</v>
      </c>
      <c r="J887">
        <v>1.7</v>
      </c>
      <c r="K887">
        <v>3249</v>
      </c>
      <c r="L887" s="2">
        <v>535000</v>
      </c>
      <c r="M887" s="2">
        <v>2180000</v>
      </c>
      <c r="N887">
        <v>222</v>
      </c>
      <c r="O887">
        <v>1.9</v>
      </c>
      <c r="P887" t="s">
        <v>15</v>
      </c>
      <c r="Q887" t="s">
        <v>14</v>
      </c>
      <c r="R887" s="2">
        <f>Table4[[#This Row],[total_followers]]/(Table4[[#This Row],[total_time_streamed]] / 60)</f>
        <v>9879.9630655586334</v>
      </c>
      <c r="S887" t="str">
        <f>IF(Table4[[#This Row],[avg_games_per_stream]] &gt; 2, "Variety", "Focused")</f>
        <v>Focused</v>
      </c>
      <c r="T887" s="4">
        <f>Table4[[#This Row],[avg_viewers_per_stream]] / Table4[[#This Row],[total_followers]]</f>
        <v>7.1906542056074767E-3</v>
      </c>
    </row>
    <row r="888" spans="1:20">
      <c r="A888">
        <v>888</v>
      </c>
      <c r="B888" t="s">
        <v>1138</v>
      </c>
      <c r="C888" t="s">
        <v>6</v>
      </c>
      <c r="D888" t="s">
        <v>39</v>
      </c>
      <c r="E888" t="s">
        <v>56</v>
      </c>
      <c r="F888" t="s">
        <v>83</v>
      </c>
      <c r="G888" s="3">
        <v>4.2</v>
      </c>
      <c r="H888">
        <v>9470</v>
      </c>
      <c r="I888">
        <v>7344</v>
      </c>
      <c r="J888">
        <v>1.2</v>
      </c>
      <c r="K888">
        <v>8090</v>
      </c>
      <c r="L888" s="2">
        <v>156000</v>
      </c>
      <c r="M888" s="2">
        <v>1210000</v>
      </c>
      <c r="N888">
        <v>18</v>
      </c>
      <c r="O888">
        <v>0.6</v>
      </c>
      <c r="P888" t="s">
        <v>20</v>
      </c>
      <c r="Q888" t="s">
        <v>19</v>
      </c>
      <c r="R888" s="2">
        <f>Table4[[#This Row],[total_followers]]/(Table4[[#This Row],[total_time_streamed]] / 60)</f>
        <v>1156.983930778739</v>
      </c>
      <c r="S888" t="str">
        <f>IF(Table4[[#This Row],[avg_games_per_stream]] &gt; 2, "Variety", "Focused")</f>
        <v>Focused</v>
      </c>
      <c r="T888" s="4">
        <f>Table4[[#This Row],[avg_viewers_per_stream]] / Table4[[#This Row],[total_followers]]</f>
        <v>4.7076923076923079E-2</v>
      </c>
    </row>
    <row r="889" spans="1:20">
      <c r="A889">
        <v>889</v>
      </c>
      <c r="B889" t="s">
        <v>1139</v>
      </c>
      <c r="C889" t="s">
        <v>6</v>
      </c>
      <c r="D889" t="s">
        <v>39</v>
      </c>
      <c r="E889" t="s">
        <v>85</v>
      </c>
      <c r="G889" s="3">
        <v>19.899999999999999</v>
      </c>
      <c r="H889">
        <v>230</v>
      </c>
      <c r="I889">
        <v>0</v>
      </c>
      <c r="J889">
        <v>1</v>
      </c>
      <c r="K889">
        <v>1400</v>
      </c>
      <c r="L889" s="2">
        <v>1500</v>
      </c>
      <c r="M889" s="2">
        <v>0</v>
      </c>
      <c r="N889">
        <v>1</v>
      </c>
      <c r="O889">
        <v>7</v>
      </c>
      <c r="P889" t="s">
        <v>16</v>
      </c>
      <c r="Q889" t="s">
        <v>20</v>
      </c>
      <c r="R889" s="2">
        <f>Table4[[#This Row],[total_followers]]/(Table4[[#This Row],[total_time_streamed]] / 60)</f>
        <v>64.285714285714292</v>
      </c>
      <c r="S889" t="str">
        <f>IF(Table4[[#This Row],[avg_games_per_stream]] &gt; 2, "Variety", "Focused")</f>
        <v>Focused</v>
      </c>
      <c r="T889" s="4">
        <f>Table4[[#This Row],[avg_viewers_per_stream]] / Table4[[#This Row],[total_followers]]</f>
        <v>0</v>
      </c>
    </row>
    <row r="890" spans="1:20">
      <c r="A890">
        <v>890</v>
      </c>
      <c r="B890" t="s">
        <v>1140</v>
      </c>
      <c r="C890" t="s">
        <v>3</v>
      </c>
      <c r="D890" t="s">
        <v>39</v>
      </c>
      <c r="E890" t="s">
        <v>40</v>
      </c>
      <c r="F890" t="s">
        <v>864</v>
      </c>
      <c r="G890" s="3">
        <v>5.2</v>
      </c>
      <c r="H890">
        <v>3510</v>
      </c>
      <c r="I890">
        <v>5640</v>
      </c>
      <c r="J890">
        <v>1.3</v>
      </c>
      <c r="K890">
        <v>3044</v>
      </c>
      <c r="L890" s="2">
        <v>206000</v>
      </c>
      <c r="M890" s="2">
        <v>332000</v>
      </c>
      <c r="N890">
        <v>92</v>
      </c>
      <c r="O890">
        <v>4</v>
      </c>
      <c r="P890" t="s">
        <v>19</v>
      </c>
      <c r="Q890" t="s">
        <v>15</v>
      </c>
      <c r="R890" s="2">
        <f>Table4[[#This Row],[total_followers]]/(Table4[[#This Row],[total_time_streamed]] / 60)</f>
        <v>4060.4467805519052</v>
      </c>
      <c r="S890" t="str">
        <f>IF(Table4[[#This Row],[avg_games_per_stream]] &gt; 2, "Variety", "Focused")</f>
        <v>Focused</v>
      </c>
      <c r="T890" s="4">
        <f>Table4[[#This Row],[avg_viewers_per_stream]] / Table4[[#This Row],[total_followers]]</f>
        <v>2.7378640776699031E-2</v>
      </c>
    </row>
    <row r="891" spans="1:20">
      <c r="A891">
        <v>891</v>
      </c>
      <c r="B891" t="s">
        <v>1141</v>
      </c>
      <c r="C891" t="s">
        <v>3</v>
      </c>
      <c r="D891" t="s">
        <v>39</v>
      </c>
      <c r="E891" t="s">
        <v>53</v>
      </c>
      <c r="F891" t="s">
        <v>46</v>
      </c>
      <c r="G891" s="3">
        <v>5.2</v>
      </c>
      <c r="H891">
        <v>1650</v>
      </c>
      <c r="I891">
        <v>9304</v>
      </c>
      <c r="J891">
        <v>1</v>
      </c>
      <c r="K891">
        <v>12035</v>
      </c>
      <c r="L891" s="2">
        <v>444000</v>
      </c>
      <c r="M891" s="2">
        <v>24500000</v>
      </c>
      <c r="N891">
        <v>37</v>
      </c>
      <c r="O891">
        <v>5.9</v>
      </c>
      <c r="P891" t="s">
        <v>16</v>
      </c>
      <c r="Q891" t="s">
        <v>17</v>
      </c>
      <c r="R891" s="2">
        <f>Table4[[#This Row],[total_followers]]/(Table4[[#This Row],[total_time_streamed]] / 60)</f>
        <v>2213.5438304943914</v>
      </c>
      <c r="S891" t="str">
        <f>IF(Table4[[#This Row],[avg_games_per_stream]] &gt; 2, "Variety", "Focused")</f>
        <v>Focused</v>
      </c>
      <c r="T891" s="4">
        <f>Table4[[#This Row],[avg_viewers_per_stream]] / Table4[[#This Row],[total_followers]]</f>
        <v>2.0954954954954953E-2</v>
      </c>
    </row>
    <row r="892" spans="1:20">
      <c r="A892">
        <v>892</v>
      </c>
      <c r="B892" t="s">
        <v>1142</v>
      </c>
      <c r="C892" t="s">
        <v>3</v>
      </c>
      <c r="D892" t="s">
        <v>39</v>
      </c>
      <c r="E892" t="s">
        <v>79</v>
      </c>
      <c r="F892" t="s">
        <v>68</v>
      </c>
      <c r="G892" s="3">
        <v>5.4</v>
      </c>
      <c r="H892">
        <v>4800</v>
      </c>
      <c r="I892">
        <v>22626</v>
      </c>
      <c r="J892">
        <v>1.6</v>
      </c>
      <c r="K892">
        <v>8601</v>
      </c>
      <c r="L892" s="2">
        <v>1160000</v>
      </c>
      <c r="M892" s="2">
        <v>45600000</v>
      </c>
      <c r="N892">
        <v>243</v>
      </c>
      <c r="O892">
        <v>4.0999999999999996</v>
      </c>
      <c r="P892" t="s">
        <v>19</v>
      </c>
      <c r="Q892" t="s">
        <v>17</v>
      </c>
      <c r="R892" s="2">
        <f>Table4[[#This Row],[total_followers]]/(Table4[[#This Row],[total_time_streamed]] / 60)</f>
        <v>8092.0823160097671</v>
      </c>
      <c r="S892" t="str">
        <f>IF(Table4[[#This Row],[avg_games_per_stream]] &gt; 2, "Variety", "Focused")</f>
        <v>Focused</v>
      </c>
      <c r="T892" s="4">
        <f>Table4[[#This Row],[avg_viewers_per_stream]] / Table4[[#This Row],[total_followers]]</f>
        <v>1.9505172413793105E-2</v>
      </c>
    </row>
    <row r="893" spans="1:20">
      <c r="A893">
        <v>893</v>
      </c>
      <c r="B893" t="s">
        <v>1143</v>
      </c>
      <c r="C893" t="s">
        <v>3</v>
      </c>
      <c r="D893" t="s">
        <v>39</v>
      </c>
      <c r="E893" t="s">
        <v>53</v>
      </c>
      <c r="F893" t="s">
        <v>380</v>
      </c>
      <c r="G893" s="3">
        <v>8</v>
      </c>
      <c r="H893">
        <v>1630</v>
      </c>
      <c r="I893">
        <v>18924</v>
      </c>
      <c r="J893">
        <v>1.7</v>
      </c>
      <c r="K893">
        <v>19446</v>
      </c>
      <c r="L893" s="2">
        <v>426000</v>
      </c>
      <c r="M893" s="2">
        <v>44100000</v>
      </c>
      <c r="N893">
        <v>311</v>
      </c>
      <c r="O893">
        <v>6.2</v>
      </c>
      <c r="P893" t="s">
        <v>15</v>
      </c>
      <c r="Q893" t="s">
        <v>15</v>
      </c>
      <c r="R893" s="2">
        <f>Table4[[#This Row],[total_followers]]/(Table4[[#This Row],[total_time_streamed]] / 60)</f>
        <v>1314.4091329836469</v>
      </c>
      <c r="S893" t="str">
        <f>IF(Table4[[#This Row],[avg_games_per_stream]] &gt; 2, "Variety", "Focused")</f>
        <v>Focused</v>
      </c>
      <c r="T893" s="4">
        <f>Table4[[#This Row],[avg_viewers_per_stream]] / Table4[[#This Row],[total_followers]]</f>
        <v>4.4422535211267607E-2</v>
      </c>
    </row>
    <row r="894" spans="1:20">
      <c r="A894">
        <v>894</v>
      </c>
      <c r="B894" t="s">
        <v>1144</v>
      </c>
      <c r="C894" t="s">
        <v>160</v>
      </c>
      <c r="D894" t="s">
        <v>39</v>
      </c>
      <c r="E894" t="s">
        <v>74</v>
      </c>
      <c r="F894" t="s">
        <v>550</v>
      </c>
      <c r="G894" s="3">
        <v>4.4000000000000004</v>
      </c>
      <c r="H894">
        <v>1490</v>
      </c>
      <c r="I894">
        <v>589</v>
      </c>
      <c r="J894">
        <v>1.1000000000000001</v>
      </c>
      <c r="K894">
        <v>5273</v>
      </c>
      <c r="L894" s="2">
        <v>202000</v>
      </c>
      <c r="M894" s="2">
        <v>7980000</v>
      </c>
      <c r="N894">
        <v>36</v>
      </c>
      <c r="O894">
        <v>4.3</v>
      </c>
      <c r="P894" t="s">
        <v>15</v>
      </c>
      <c r="Q894" t="s">
        <v>14</v>
      </c>
      <c r="R894" s="2">
        <f>Table4[[#This Row],[total_followers]]/(Table4[[#This Row],[total_time_streamed]] / 60)</f>
        <v>2298.50180163095</v>
      </c>
      <c r="S894" t="str">
        <f>IF(Table4[[#This Row],[avg_games_per_stream]] &gt; 2, "Variety", "Focused")</f>
        <v>Focused</v>
      </c>
      <c r="T894" s="4">
        <f>Table4[[#This Row],[avg_viewers_per_stream]] / Table4[[#This Row],[total_followers]]</f>
        <v>2.9158415841584158E-3</v>
      </c>
    </row>
    <row r="895" spans="1:20">
      <c r="A895">
        <v>895</v>
      </c>
      <c r="B895" t="s">
        <v>1145</v>
      </c>
      <c r="C895" t="s">
        <v>5</v>
      </c>
      <c r="D895" t="s">
        <v>39</v>
      </c>
      <c r="E895" t="s">
        <v>66</v>
      </c>
      <c r="F895" t="s">
        <v>54</v>
      </c>
      <c r="G895" s="3">
        <v>7.2</v>
      </c>
      <c r="H895">
        <v>3000</v>
      </c>
      <c r="I895">
        <v>70</v>
      </c>
      <c r="J895">
        <v>1.2</v>
      </c>
      <c r="K895">
        <v>2147</v>
      </c>
      <c r="L895" s="2">
        <v>98700</v>
      </c>
      <c r="M895" s="2">
        <v>19800</v>
      </c>
      <c r="N895">
        <v>45</v>
      </c>
      <c r="O895">
        <v>0.8</v>
      </c>
      <c r="P895" t="s">
        <v>18</v>
      </c>
      <c r="Q895" t="s">
        <v>17</v>
      </c>
      <c r="R895" s="2">
        <f>Table4[[#This Row],[total_followers]]/(Table4[[#This Row],[total_time_streamed]] / 60)</f>
        <v>2758.2673497904052</v>
      </c>
      <c r="S895" t="str">
        <f>IF(Table4[[#This Row],[avg_games_per_stream]] &gt; 2, "Variety", "Focused")</f>
        <v>Focused</v>
      </c>
      <c r="T895" s="4">
        <f>Table4[[#This Row],[avg_viewers_per_stream]] / Table4[[#This Row],[total_followers]]</f>
        <v>7.0921985815602842E-4</v>
      </c>
    </row>
    <row r="896" spans="1:20">
      <c r="A896">
        <v>896</v>
      </c>
      <c r="B896" t="s">
        <v>1146</v>
      </c>
      <c r="C896" t="s">
        <v>2</v>
      </c>
      <c r="D896" t="s">
        <v>39</v>
      </c>
      <c r="E896" t="s">
        <v>40</v>
      </c>
      <c r="F896" t="s">
        <v>550</v>
      </c>
      <c r="G896" s="3">
        <v>8.1</v>
      </c>
      <c r="H896">
        <v>3880</v>
      </c>
      <c r="I896">
        <v>25354</v>
      </c>
      <c r="J896">
        <v>2.2000000000000002</v>
      </c>
      <c r="K896">
        <v>8475</v>
      </c>
      <c r="L896" s="2">
        <v>408000</v>
      </c>
      <c r="M896" s="2">
        <v>26600000</v>
      </c>
      <c r="N896">
        <v>191</v>
      </c>
      <c r="O896">
        <v>5.6</v>
      </c>
      <c r="P896" t="s">
        <v>18</v>
      </c>
      <c r="Q896" t="s">
        <v>15</v>
      </c>
      <c r="R896" s="2">
        <f>Table4[[#This Row],[total_followers]]/(Table4[[#This Row],[total_time_streamed]] / 60)</f>
        <v>2888.4955752212391</v>
      </c>
      <c r="S896" t="str">
        <f>IF(Table4[[#This Row],[avg_games_per_stream]] &gt; 2, "Variety", "Focused")</f>
        <v>Variety</v>
      </c>
      <c r="T896" s="4">
        <f>Table4[[#This Row],[avg_viewers_per_stream]] / Table4[[#This Row],[total_followers]]</f>
        <v>6.2142156862745095E-2</v>
      </c>
    </row>
    <row r="897" spans="1:20">
      <c r="A897">
        <v>897</v>
      </c>
      <c r="B897" t="s">
        <v>1147</v>
      </c>
      <c r="C897" t="s">
        <v>63</v>
      </c>
      <c r="D897" t="s">
        <v>39</v>
      </c>
      <c r="E897" t="s">
        <v>595</v>
      </c>
      <c r="G897" s="3">
        <v>8.4</v>
      </c>
      <c r="H897">
        <v>1840</v>
      </c>
      <c r="I897">
        <v>0</v>
      </c>
      <c r="J897">
        <v>1</v>
      </c>
      <c r="K897">
        <v>250</v>
      </c>
      <c r="L897" s="2">
        <v>553</v>
      </c>
      <c r="M897" s="2">
        <v>0</v>
      </c>
      <c r="N897">
        <v>1</v>
      </c>
      <c r="O897">
        <v>0.7</v>
      </c>
      <c r="P897" t="s">
        <v>18</v>
      </c>
      <c r="Q897" t="s">
        <v>15</v>
      </c>
      <c r="R897" s="2">
        <f>Table4[[#This Row],[total_followers]]/(Table4[[#This Row],[total_time_streamed]] / 60)</f>
        <v>132.72</v>
      </c>
      <c r="S897" t="str">
        <f>IF(Table4[[#This Row],[avg_games_per_stream]] &gt; 2, "Variety", "Focused")</f>
        <v>Focused</v>
      </c>
      <c r="T897" s="4">
        <f>Table4[[#This Row],[avg_viewers_per_stream]] / Table4[[#This Row],[total_followers]]</f>
        <v>0</v>
      </c>
    </row>
    <row r="898" spans="1:20">
      <c r="A898">
        <v>898</v>
      </c>
      <c r="B898" t="s">
        <v>1148</v>
      </c>
      <c r="C898" t="s">
        <v>3</v>
      </c>
      <c r="D898" t="s">
        <v>39</v>
      </c>
      <c r="E898" t="s">
        <v>290</v>
      </c>
      <c r="F898" t="s">
        <v>74</v>
      </c>
      <c r="G898" s="3">
        <v>8.5</v>
      </c>
      <c r="H898">
        <v>2450</v>
      </c>
      <c r="I898">
        <v>1636</v>
      </c>
      <c r="J898">
        <v>1.3</v>
      </c>
      <c r="K898">
        <v>17639</v>
      </c>
      <c r="L898" s="2">
        <v>562000</v>
      </c>
      <c r="M898" s="2">
        <v>33000000</v>
      </c>
      <c r="N898">
        <v>179</v>
      </c>
      <c r="O898">
        <v>5.3</v>
      </c>
      <c r="P898" t="s">
        <v>14</v>
      </c>
      <c r="Q898" t="s">
        <v>15</v>
      </c>
      <c r="R898" s="2">
        <f>Table4[[#This Row],[total_followers]]/(Table4[[#This Row],[total_time_streamed]] / 60)</f>
        <v>1911.6729973354497</v>
      </c>
      <c r="S898" t="str">
        <f>IF(Table4[[#This Row],[avg_games_per_stream]] &gt; 2, "Variety", "Focused")</f>
        <v>Focused</v>
      </c>
      <c r="T898" s="4">
        <f>Table4[[#This Row],[avg_viewers_per_stream]] / Table4[[#This Row],[total_followers]]</f>
        <v>2.9110320284697509E-3</v>
      </c>
    </row>
    <row r="899" spans="1:20">
      <c r="A899">
        <v>899</v>
      </c>
      <c r="B899" t="s">
        <v>1149</v>
      </c>
      <c r="C899" t="s">
        <v>63</v>
      </c>
      <c r="D899" t="s">
        <v>39</v>
      </c>
      <c r="E899" t="s">
        <v>595</v>
      </c>
      <c r="G899" s="3">
        <v>5</v>
      </c>
      <c r="H899">
        <v>10</v>
      </c>
      <c r="I899">
        <v>0</v>
      </c>
      <c r="J899">
        <v>1</v>
      </c>
      <c r="K899">
        <v>50</v>
      </c>
      <c r="L899" s="2">
        <v>2</v>
      </c>
      <c r="M899" s="2">
        <v>0</v>
      </c>
      <c r="N899">
        <v>1</v>
      </c>
      <c r="O899">
        <v>0.2</v>
      </c>
      <c r="P899" t="s">
        <v>17</v>
      </c>
      <c r="Q899" t="s">
        <v>17</v>
      </c>
      <c r="R899" s="2">
        <f>Table4[[#This Row],[total_followers]]/(Table4[[#This Row],[total_time_streamed]] / 60)</f>
        <v>2.4</v>
      </c>
      <c r="S899" t="str">
        <f>IF(Table4[[#This Row],[avg_games_per_stream]] &gt; 2, "Variety", "Focused")</f>
        <v>Focused</v>
      </c>
      <c r="T899" s="4">
        <f>Table4[[#This Row],[avg_viewers_per_stream]] / Table4[[#This Row],[total_followers]]</f>
        <v>0</v>
      </c>
    </row>
    <row r="900" spans="1:20">
      <c r="A900">
        <v>900</v>
      </c>
      <c r="B900" t="s">
        <v>1150</v>
      </c>
      <c r="C900" t="s">
        <v>7</v>
      </c>
      <c r="D900" t="s">
        <v>39</v>
      </c>
      <c r="E900" t="s">
        <v>40</v>
      </c>
      <c r="F900" t="s">
        <v>46</v>
      </c>
      <c r="G900" s="3">
        <v>3.6</v>
      </c>
      <c r="H900">
        <v>5100</v>
      </c>
      <c r="I900">
        <v>17282</v>
      </c>
      <c r="J900">
        <v>2</v>
      </c>
      <c r="K900">
        <v>4982</v>
      </c>
      <c r="L900" s="2">
        <v>551000</v>
      </c>
      <c r="M900" s="2">
        <v>18600000</v>
      </c>
      <c r="N900">
        <v>138</v>
      </c>
      <c r="O900">
        <v>4</v>
      </c>
      <c r="P900" t="s">
        <v>14</v>
      </c>
      <c r="Q900" t="s">
        <v>16</v>
      </c>
      <c r="R900" s="2">
        <f>Table4[[#This Row],[total_followers]]/(Table4[[#This Row],[total_time_streamed]] / 60)</f>
        <v>6635.8892011240468</v>
      </c>
      <c r="S900" t="str">
        <f>IF(Table4[[#This Row],[avg_games_per_stream]] &gt; 2, "Variety", "Focused")</f>
        <v>Focused</v>
      </c>
      <c r="T900" s="4">
        <f>Table4[[#This Row],[avg_viewers_per_stream]] / Table4[[#This Row],[total_followers]]</f>
        <v>3.1364791288566243E-2</v>
      </c>
    </row>
    <row r="901" spans="1:20">
      <c r="A901">
        <v>901</v>
      </c>
      <c r="B901" t="s">
        <v>1151</v>
      </c>
      <c r="C901" t="s">
        <v>61</v>
      </c>
      <c r="D901" t="s">
        <v>39</v>
      </c>
      <c r="E901" t="s">
        <v>40</v>
      </c>
      <c r="F901" t="s">
        <v>233</v>
      </c>
      <c r="G901" s="3">
        <v>4.8</v>
      </c>
      <c r="H901">
        <v>2120</v>
      </c>
      <c r="I901">
        <v>2340</v>
      </c>
      <c r="J901">
        <v>1.5</v>
      </c>
      <c r="K901">
        <v>3821</v>
      </c>
      <c r="L901" s="2">
        <v>169000</v>
      </c>
      <c r="M901" s="2">
        <v>186000</v>
      </c>
      <c r="N901">
        <v>113</v>
      </c>
      <c r="O901">
        <v>2.2999999999999998</v>
      </c>
      <c r="P901" t="s">
        <v>19</v>
      </c>
      <c r="Q901" t="s">
        <v>14</v>
      </c>
      <c r="R901" s="2">
        <f>Table4[[#This Row],[total_followers]]/(Table4[[#This Row],[total_time_streamed]] / 60)</f>
        <v>2653.7555613713689</v>
      </c>
      <c r="S901" t="str">
        <f>IF(Table4[[#This Row],[avg_games_per_stream]] &gt; 2, "Variety", "Focused")</f>
        <v>Focused</v>
      </c>
      <c r="T901" s="4">
        <f>Table4[[#This Row],[avg_viewers_per_stream]] / Table4[[#This Row],[total_followers]]</f>
        <v>1.3846153846153847E-2</v>
      </c>
    </row>
    <row r="902" spans="1:20">
      <c r="A902">
        <v>902</v>
      </c>
      <c r="B902" t="s">
        <v>1152</v>
      </c>
      <c r="C902" t="s">
        <v>61</v>
      </c>
      <c r="D902" t="s">
        <v>39</v>
      </c>
      <c r="E902" t="s">
        <v>104</v>
      </c>
      <c r="F902" t="s">
        <v>40</v>
      </c>
      <c r="G902" s="3">
        <v>5.6</v>
      </c>
      <c r="H902">
        <v>1150</v>
      </c>
      <c r="I902">
        <v>4788</v>
      </c>
      <c r="J902">
        <v>1.1000000000000001</v>
      </c>
      <c r="K902">
        <v>3846</v>
      </c>
      <c r="L902" s="2">
        <v>85000</v>
      </c>
      <c r="M902" s="2">
        <v>35100000</v>
      </c>
      <c r="N902">
        <v>16</v>
      </c>
      <c r="O902">
        <v>3.3</v>
      </c>
      <c r="P902" t="s">
        <v>15</v>
      </c>
      <c r="Q902" t="s">
        <v>15</v>
      </c>
      <c r="R902" s="2">
        <f>Table4[[#This Row],[total_followers]]/(Table4[[#This Row],[total_time_streamed]] / 60)</f>
        <v>1326.0530421216849</v>
      </c>
      <c r="S902" t="str">
        <f>IF(Table4[[#This Row],[avg_games_per_stream]] &gt; 2, "Variety", "Focused")</f>
        <v>Focused</v>
      </c>
      <c r="T902" s="4">
        <f>Table4[[#This Row],[avg_viewers_per_stream]] / Table4[[#This Row],[total_followers]]</f>
        <v>5.6329411764705885E-2</v>
      </c>
    </row>
    <row r="903" spans="1:20">
      <c r="A903">
        <v>903</v>
      </c>
      <c r="B903" t="s">
        <v>1153</v>
      </c>
      <c r="C903" t="s">
        <v>6</v>
      </c>
      <c r="D903" t="s">
        <v>39</v>
      </c>
      <c r="E903" t="s">
        <v>54</v>
      </c>
      <c r="F903" t="s">
        <v>12</v>
      </c>
      <c r="G903" s="3">
        <v>3.3</v>
      </c>
      <c r="H903">
        <v>9350</v>
      </c>
      <c r="I903">
        <v>2154</v>
      </c>
      <c r="J903">
        <v>1</v>
      </c>
      <c r="K903">
        <v>7270</v>
      </c>
      <c r="L903" s="2">
        <v>187000</v>
      </c>
      <c r="M903" s="2">
        <v>431000</v>
      </c>
      <c r="N903">
        <v>2</v>
      </c>
      <c r="O903">
        <v>0.8</v>
      </c>
      <c r="P903" t="s">
        <v>19</v>
      </c>
      <c r="Q903" t="s">
        <v>14</v>
      </c>
      <c r="R903" s="2">
        <f>Table4[[#This Row],[total_followers]]/(Table4[[#This Row],[total_time_streamed]] / 60)</f>
        <v>1543.3287482806052</v>
      </c>
      <c r="S903" t="str">
        <f>IF(Table4[[#This Row],[avg_games_per_stream]] &gt; 2, "Variety", "Focused")</f>
        <v>Focused</v>
      </c>
      <c r="T903" s="4">
        <f>Table4[[#This Row],[avg_viewers_per_stream]] / Table4[[#This Row],[total_followers]]</f>
        <v>1.1518716577540108E-2</v>
      </c>
    </row>
    <row r="904" spans="1:20">
      <c r="A904">
        <v>904</v>
      </c>
      <c r="B904" t="s">
        <v>1154</v>
      </c>
      <c r="C904" t="s">
        <v>3</v>
      </c>
      <c r="D904" t="s">
        <v>39</v>
      </c>
      <c r="E904" t="s">
        <v>296</v>
      </c>
      <c r="F904" t="s">
        <v>371</v>
      </c>
      <c r="G904" s="3">
        <v>5.5</v>
      </c>
      <c r="H904">
        <v>950</v>
      </c>
      <c r="I904">
        <v>1811</v>
      </c>
      <c r="J904">
        <v>1.3</v>
      </c>
      <c r="K904">
        <v>9092</v>
      </c>
      <c r="L904" s="2">
        <v>177000</v>
      </c>
      <c r="M904" s="2">
        <v>3390000</v>
      </c>
      <c r="N904">
        <v>81</v>
      </c>
      <c r="O904">
        <v>4.2</v>
      </c>
      <c r="P904" t="s">
        <v>17</v>
      </c>
      <c r="Q904" t="s">
        <v>14</v>
      </c>
      <c r="R904" s="2">
        <f>Table4[[#This Row],[total_followers]]/(Table4[[#This Row],[total_time_streamed]] / 60)</f>
        <v>1168.0598328200615</v>
      </c>
      <c r="S904" t="str">
        <f>IF(Table4[[#This Row],[avg_games_per_stream]] &gt; 2, "Variety", "Focused")</f>
        <v>Focused</v>
      </c>
      <c r="T904" s="4">
        <f>Table4[[#This Row],[avg_viewers_per_stream]] / Table4[[#This Row],[total_followers]]</f>
        <v>1.0231638418079097E-2</v>
      </c>
    </row>
    <row r="905" spans="1:20">
      <c r="A905">
        <v>905</v>
      </c>
      <c r="B905" t="s">
        <v>1155</v>
      </c>
      <c r="C905" t="s">
        <v>63</v>
      </c>
      <c r="D905" t="s">
        <v>39</v>
      </c>
      <c r="E905" t="s">
        <v>64</v>
      </c>
      <c r="F905" t="s">
        <v>70</v>
      </c>
      <c r="G905" s="3">
        <v>5.8</v>
      </c>
      <c r="H905">
        <v>540</v>
      </c>
      <c r="I905">
        <v>1238</v>
      </c>
      <c r="J905">
        <v>1.3</v>
      </c>
      <c r="K905">
        <v>12087</v>
      </c>
      <c r="L905" s="2">
        <v>491000</v>
      </c>
      <c r="M905" s="2">
        <v>121000000</v>
      </c>
      <c r="N905">
        <v>26</v>
      </c>
      <c r="O905">
        <v>5.3</v>
      </c>
      <c r="P905" t="s">
        <v>20</v>
      </c>
      <c r="Q905" t="s">
        <v>20</v>
      </c>
      <c r="R905" s="2">
        <f>Table4[[#This Row],[total_followers]]/(Table4[[#This Row],[total_time_streamed]] / 60)</f>
        <v>2437.3293621245966</v>
      </c>
      <c r="S905" t="str">
        <f>IF(Table4[[#This Row],[avg_games_per_stream]] &gt; 2, "Variety", "Focused")</f>
        <v>Focused</v>
      </c>
      <c r="T905" s="4">
        <f>Table4[[#This Row],[avg_viewers_per_stream]] / Table4[[#This Row],[total_followers]]</f>
        <v>2.5213849287169044E-3</v>
      </c>
    </row>
    <row r="906" spans="1:20">
      <c r="A906">
        <v>906</v>
      </c>
      <c r="B906" t="s">
        <v>1156</v>
      </c>
      <c r="C906" t="s">
        <v>7</v>
      </c>
      <c r="D906" t="s">
        <v>39</v>
      </c>
      <c r="E906" t="s">
        <v>145</v>
      </c>
      <c r="F906" t="s">
        <v>193</v>
      </c>
      <c r="G906" s="3">
        <v>4.0999999999999996</v>
      </c>
      <c r="H906">
        <v>1470</v>
      </c>
      <c r="I906">
        <v>5360</v>
      </c>
      <c r="J906">
        <v>1.1000000000000001</v>
      </c>
      <c r="K906">
        <v>5446</v>
      </c>
      <c r="L906" s="2">
        <v>202000</v>
      </c>
      <c r="M906" s="2">
        <v>737000</v>
      </c>
      <c r="N906">
        <v>17</v>
      </c>
      <c r="O906">
        <v>5.0999999999999996</v>
      </c>
      <c r="P906" t="s">
        <v>15</v>
      </c>
      <c r="Q906" t="s">
        <v>14</v>
      </c>
      <c r="R906" s="2">
        <f>Table4[[#This Row],[total_followers]]/(Table4[[#This Row],[total_time_streamed]] / 60)</f>
        <v>2225.4865956665444</v>
      </c>
      <c r="S906" t="str">
        <f>IF(Table4[[#This Row],[avg_games_per_stream]] &gt; 2, "Variety", "Focused")</f>
        <v>Focused</v>
      </c>
      <c r="T906" s="4">
        <f>Table4[[#This Row],[avg_viewers_per_stream]] / Table4[[#This Row],[total_followers]]</f>
        <v>2.6534653465346534E-2</v>
      </c>
    </row>
    <row r="907" spans="1:20">
      <c r="A907">
        <v>907</v>
      </c>
      <c r="B907" t="s">
        <v>1157</v>
      </c>
      <c r="C907" t="s">
        <v>3</v>
      </c>
      <c r="D907" t="s">
        <v>39</v>
      </c>
      <c r="E907" t="s">
        <v>290</v>
      </c>
      <c r="F907" t="s">
        <v>291</v>
      </c>
      <c r="G907" s="3">
        <v>7.1</v>
      </c>
      <c r="H907">
        <v>2000</v>
      </c>
      <c r="I907">
        <v>19406</v>
      </c>
      <c r="J907">
        <v>1.4</v>
      </c>
      <c r="K907">
        <v>10743</v>
      </c>
      <c r="L907" s="2">
        <v>1000000</v>
      </c>
      <c r="M907" s="2">
        <v>49700000</v>
      </c>
      <c r="N907">
        <v>243</v>
      </c>
      <c r="O907">
        <v>3.8</v>
      </c>
      <c r="P907" t="s">
        <v>20</v>
      </c>
      <c r="Q907" t="s">
        <v>17</v>
      </c>
      <c r="R907" s="2">
        <f>Table4[[#This Row],[total_followers]]/(Table4[[#This Row],[total_time_streamed]] / 60)</f>
        <v>5585.0321139346552</v>
      </c>
      <c r="S907" t="str">
        <f>IF(Table4[[#This Row],[avg_games_per_stream]] &gt; 2, "Variety", "Focused")</f>
        <v>Focused</v>
      </c>
      <c r="T907" s="4">
        <f>Table4[[#This Row],[avg_viewers_per_stream]] / Table4[[#This Row],[total_followers]]</f>
        <v>1.9406E-2</v>
      </c>
    </row>
    <row r="908" spans="1:20">
      <c r="A908">
        <v>908</v>
      </c>
      <c r="B908" t="s">
        <v>1158</v>
      </c>
      <c r="C908" t="s">
        <v>3</v>
      </c>
      <c r="D908" t="s">
        <v>39</v>
      </c>
      <c r="E908" t="s">
        <v>40</v>
      </c>
      <c r="F908" t="s">
        <v>51</v>
      </c>
      <c r="G908" s="3">
        <v>3</v>
      </c>
      <c r="H908">
        <v>2185</v>
      </c>
      <c r="I908">
        <v>1187</v>
      </c>
      <c r="J908">
        <v>1.1000000000000001</v>
      </c>
      <c r="K908">
        <v>1409</v>
      </c>
      <c r="L908" s="2">
        <v>739000</v>
      </c>
      <c r="M908" s="2">
        <v>4010000</v>
      </c>
      <c r="N908">
        <v>19</v>
      </c>
      <c r="O908">
        <v>1.9</v>
      </c>
      <c r="P908" t="s">
        <v>15</v>
      </c>
      <c r="Q908" t="s">
        <v>16</v>
      </c>
      <c r="R908" s="2">
        <f>Table4[[#This Row],[total_followers]]/(Table4[[#This Row],[total_time_streamed]] / 60)</f>
        <v>31469.127040454223</v>
      </c>
      <c r="S908" t="str">
        <f>IF(Table4[[#This Row],[avg_games_per_stream]] &gt; 2, "Variety", "Focused")</f>
        <v>Focused</v>
      </c>
      <c r="T908" s="4">
        <f>Table4[[#This Row],[avg_viewers_per_stream]] / Table4[[#This Row],[total_followers]]</f>
        <v>1.6062246278755075E-3</v>
      </c>
    </row>
    <row r="909" spans="1:20">
      <c r="A909">
        <v>909</v>
      </c>
      <c r="B909" t="s">
        <v>1159</v>
      </c>
      <c r="C909" t="s">
        <v>3</v>
      </c>
      <c r="D909" t="s">
        <v>39</v>
      </c>
      <c r="E909" t="s">
        <v>40</v>
      </c>
      <c r="F909" t="s">
        <v>1160</v>
      </c>
      <c r="G909" s="3">
        <v>4.3</v>
      </c>
      <c r="H909">
        <v>1210</v>
      </c>
      <c r="I909">
        <v>699</v>
      </c>
      <c r="J909">
        <v>1.8</v>
      </c>
      <c r="K909">
        <v>10558</v>
      </c>
      <c r="L909" s="2">
        <v>596000</v>
      </c>
      <c r="M909" s="2">
        <v>18800000</v>
      </c>
      <c r="N909">
        <v>905</v>
      </c>
      <c r="O909">
        <v>6.2</v>
      </c>
      <c r="P909" t="s">
        <v>19</v>
      </c>
      <c r="Q909" t="s">
        <v>14</v>
      </c>
      <c r="R909" s="2">
        <f>Table4[[#This Row],[total_followers]]/(Table4[[#This Row],[total_time_streamed]] / 60)</f>
        <v>3387.0051146050387</v>
      </c>
      <c r="S909" t="str">
        <f>IF(Table4[[#This Row],[avg_games_per_stream]] &gt; 2, "Variety", "Focused")</f>
        <v>Focused</v>
      </c>
      <c r="T909" s="4">
        <f>Table4[[#This Row],[avg_viewers_per_stream]] / Table4[[#This Row],[total_followers]]</f>
        <v>1.1728187919463088E-3</v>
      </c>
    </row>
    <row r="910" spans="1:20">
      <c r="A910">
        <v>910</v>
      </c>
      <c r="B910" t="s">
        <v>1161</v>
      </c>
      <c r="C910" t="s">
        <v>3</v>
      </c>
      <c r="D910" t="s">
        <v>39</v>
      </c>
      <c r="E910" t="s">
        <v>290</v>
      </c>
      <c r="F910" t="s">
        <v>1162</v>
      </c>
      <c r="G910" s="3">
        <v>9.6</v>
      </c>
      <c r="H910">
        <v>2990</v>
      </c>
      <c r="I910">
        <v>17498</v>
      </c>
      <c r="J910">
        <v>1.3</v>
      </c>
      <c r="K910">
        <v>21684</v>
      </c>
      <c r="L910" s="2">
        <v>534000</v>
      </c>
      <c r="M910" s="2">
        <v>31200000</v>
      </c>
      <c r="N910">
        <v>210</v>
      </c>
      <c r="O910">
        <v>5.8</v>
      </c>
      <c r="P910" t="s">
        <v>19</v>
      </c>
      <c r="Q910" t="s">
        <v>15</v>
      </c>
      <c r="R910" s="2">
        <f>Table4[[#This Row],[total_followers]]/(Table4[[#This Row],[total_time_streamed]] / 60)</f>
        <v>1477.5871610403985</v>
      </c>
      <c r="S910" t="str">
        <f>IF(Table4[[#This Row],[avg_games_per_stream]] &gt; 2, "Variety", "Focused")</f>
        <v>Focused</v>
      </c>
      <c r="T910" s="4">
        <f>Table4[[#This Row],[avg_viewers_per_stream]] / Table4[[#This Row],[total_followers]]</f>
        <v>3.2767790262172282E-2</v>
      </c>
    </row>
    <row r="911" spans="1:20">
      <c r="A911">
        <v>911</v>
      </c>
      <c r="B911" t="s">
        <v>1163</v>
      </c>
      <c r="C911" t="s">
        <v>3</v>
      </c>
      <c r="D911" t="s">
        <v>39</v>
      </c>
      <c r="E911" t="s">
        <v>524</v>
      </c>
      <c r="F911" t="s">
        <v>40</v>
      </c>
      <c r="G911" s="3">
        <v>4.5999999999999996</v>
      </c>
      <c r="H911">
        <v>4310</v>
      </c>
      <c r="I911">
        <v>5482</v>
      </c>
      <c r="J911">
        <v>1.4</v>
      </c>
      <c r="K911">
        <v>4711</v>
      </c>
      <c r="L911" s="2">
        <v>418000</v>
      </c>
      <c r="M911" s="2">
        <v>5310000</v>
      </c>
      <c r="N911">
        <v>277</v>
      </c>
      <c r="O911">
        <v>2.8</v>
      </c>
      <c r="P911" t="s">
        <v>15</v>
      </c>
      <c r="Q911" t="s">
        <v>14</v>
      </c>
      <c r="R911" s="2">
        <f>Table4[[#This Row],[total_followers]]/(Table4[[#This Row],[total_time_streamed]] / 60)</f>
        <v>5323.7104648694549</v>
      </c>
      <c r="S911" t="str">
        <f>IF(Table4[[#This Row],[avg_games_per_stream]] &gt; 2, "Variety", "Focused")</f>
        <v>Focused</v>
      </c>
      <c r="T911" s="4">
        <f>Table4[[#This Row],[avg_viewers_per_stream]] / Table4[[#This Row],[total_followers]]</f>
        <v>1.3114832535885168E-2</v>
      </c>
    </row>
    <row r="912" spans="1:20">
      <c r="A912">
        <v>912</v>
      </c>
      <c r="B912" t="s">
        <v>1164</v>
      </c>
      <c r="C912" t="s">
        <v>3</v>
      </c>
      <c r="D912" t="s">
        <v>58</v>
      </c>
      <c r="E912" t="s">
        <v>53</v>
      </c>
      <c r="F912" t="s">
        <v>380</v>
      </c>
      <c r="G912" s="3">
        <v>19.399999999999999</v>
      </c>
      <c r="H912">
        <v>3375</v>
      </c>
      <c r="I912">
        <v>249671</v>
      </c>
      <c r="J912">
        <v>1</v>
      </c>
      <c r="K912">
        <v>2701</v>
      </c>
      <c r="L912" s="2">
        <v>326000</v>
      </c>
      <c r="M912" s="2">
        <v>23200000</v>
      </c>
      <c r="N912">
        <v>5</v>
      </c>
      <c r="O912">
        <v>0.7</v>
      </c>
      <c r="P912" t="s">
        <v>18</v>
      </c>
      <c r="Q912" t="s">
        <v>15</v>
      </c>
      <c r="R912" s="2">
        <f>Table4[[#This Row],[total_followers]]/(Table4[[#This Row],[total_time_streamed]] / 60)</f>
        <v>7241.7623102554608</v>
      </c>
      <c r="S912" t="str">
        <f>IF(Table4[[#This Row],[avg_games_per_stream]] &gt; 2, "Variety", "Focused")</f>
        <v>Focused</v>
      </c>
      <c r="T912" s="4">
        <f>Table4[[#This Row],[avg_viewers_per_stream]] / Table4[[#This Row],[total_followers]]</f>
        <v>0.76586196319018407</v>
      </c>
    </row>
    <row r="913" spans="1:20">
      <c r="A913">
        <v>913</v>
      </c>
      <c r="B913" t="s">
        <v>1165</v>
      </c>
      <c r="C913" t="s">
        <v>7</v>
      </c>
      <c r="D913" t="s">
        <v>39</v>
      </c>
      <c r="E913" t="s">
        <v>46</v>
      </c>
      <c r="F913" t="s">
        <v>109</v>
      </c>
      <c r="G913" s="3">
        <v>5.0999999999999996</v>
      </c>
      <c r="H913">
        <v>3000</v>
      </c>
      <c r="I913">
        <v>19596</v>
      </c>
      <c r="J913">
        <v>1.4</v>
      </c>
      <c r="K913">
        <v>8224</v>
      </c>
      <c r="L913" s="2">
        <v>452000</v>
      </c>
      <c r="M913" s="2">
        <v>29300000</v>
      </c>
      <c r="N913">
        <v>89</v>
      </c>
      <c r="O913">
        <v>4.0999999999999996</v>
      </c>
      <c r="P913" t="s">
        <v>19</v>
      </c>
      <c r="Q913" t="s">
        <v>19</v>
      </c>
      <c r="R913" s="2">
        <f>Table4[[#This Row],[total_followers]]/(Table4[[#This Row],[total_time_streamed]] / 60)</f>
        <v>3297.6653696498056</v>
      </c>
      <c r="S913" t="str">
        <f>IF(Table4[[#This Row],[avg_games_per_stream]] &gt; 2, "Variety", "Focused")</f>
        <v>Focused</v>
      </c>
      <c r="T913" s="4">
        <f>Table4[[#This Row],[avg_viewers_per_stream]] / Table4[[#This Row],[total_followers]]</f>
        <v>4.3353982300884955E-2</v>
      </c>
    </row>
    <row r="914" spans="1:20">
      <c r="A914">
        <v>914</v>
      </c>
      <c r="B914" t="s">
        <v>1166</v>
      </c>
      <c r="C914" t="s">
        <v>7</v>
      </c>
      <c r="D914" t="s">
        <v>39</v>
      </c>
      <c r="E914" t="s">
        <v>40</v>
      </c>
      <c r="F914" t="s">
        <v>53</v>
      </c>
      <c r="G914" s="3">
        <v>6</v>
      </c>
      <c r="H914">
        <v>6010</v>
      </c>
      <c r="I914">
        <v>7758</v>
      </c>
      <c r="J914">
        <v>2</v>
      </c>
      <c r="K914">
        <v>5288</v>
      </c>
      <c r="L914" s="2">
        <v>517000</v>
      </c>
      <c r="M914" s="2">
        <v>6670000</v>
      </c>
      <c r="N914">
        <v>237</v>
      </c>
      <c r="O914">
        <v>4.5</v>
      </c>
      <c r="P914" t="s">
        <v>14</v>
      </c>
      <c r="Q914" t="s">
        <v>15</v>
      </c>
      <c r="R914" s="2">
        <f>Table4[[#This Row],[total_followers]]/(Table4[[#This Row],[total_time_streamed]] / 60)</f>
        <v>5866.1119515885021</v>
      </c>
      <c r="S914" t="str">
        <f>IF(Table4[[#This Row],[avg_games_per_stream]] &gt; 2, "Variety", "Focused")</f>
        <v>Focused</v>
      </c>
      <c r="T914" s="4">
        <f>Table4[[#This Row],[avg_viewers_per_stream]] / Table4[[#This Row],[total_followers]]</f>
        <v>1.5005802707930367E-2</v>
      </c>
    </row>
    <row r="915" spans="1:20">
      <c r="A915">
        <v>915</v>
      </c>
      <c r="B915" t="s">
        <v>1167</v>
      </c>
      <c r="C915" t="s">
        <v>3</v>
      </c>
      <c r="D915" t="s">
        <v>39</v>
      </c>
      <c r="E915" t="s">
        <v>117</v>
      </c>
      <c r="F915" t="s">
        <v>12</v>
      </c>
      <c r="G915" s="3">
        <v>4.7</v>
      </c>
      <c r="H915">
        <v>5590</v>
      </c>
      <c r="I915">
        <v>0</v>
      </c>
      <c r="J915">
        <v>2</v>
      </c>
      <c r="K915">
        <v>90</v>
      </c>
      <c r="L915" s="2">
        <v>1200</v>
      </c>
      <c r="M915" s="2">
        <v>0</v>
      </c>
      <c r="N915">
        <v>3</v>
      </c>
      <c r="O915">
        <v>0.1</v>
      </c>
      <c r="P915" t="s">
        <v>20</v>
      </c>
      <c r="Q915" t="s">
        <v>20</v>
      </c>
      <c r="R915" s="2">
        <f>Table4[[#This Row],[total_followers]]/(Table4[[#This Row],[total_time_streamed]] / 60)</f>
        <v>800</v>
      </c>
      <c r="S915" t="str">
        <f>IF(Table4[[#This Row],[avg_games_per_stream]] &gt; 2, "Variety", "Focused")</f>
        <v>Focused</v>
      </c>
      <c r="T915" s="4">
        <f>Table4[[#This Row],[avg_viewers_per_stream]] / Table4[[#This Row],[total_followers]]</f>
        <v>0</v>
      </c>
    </row>
    <row r="916" spans="1:20">
      <c r="A916">
        <v>916</v>
      </c>
      <c r="B916" t="s">
        <v>1168</v>
      </c>
      <c r="C916" t="s">
        <v>3</v>
      </c>
      <c r="D916" t="s">
        <v>39</v>
      </c>
      <c r="E916" t="s">
        <v>56</v>
      </c>
      <c r="F916" t="s">
        <v>98</v>
      </c>
      <c r="G916" s="3">
        <v>3.1</v>
      </c>
      <c r="H916">
        <v>2450</v>
      </c>
      <c r="I916">
        <v>2350</v>
      </c>
      <c r="J916">
        <v>1.1000000000000001</v>
      </c>
      <c r="K916">
        <v>1518</v>
      </c>
      <c r="L916" s="2">
        <v>115000</v>
      </c>
      <c r="M916" s="2">
        <v>110000</v>
      </c>
      <c r="N916">
        <v>7</v>
      </c>
      <c r="O916">
        <v>2.1</v>
      </c>
      <c r="P916" t="s">
        <v>19</v>
      </c>
      <c r="Q916" t="s">
        <v>14</v>
      </c>
      <c r="R916" s="2">
        <f>Table4[[#This Row],[total_followers]]/(Table4[[#This Row],[total_time_streamed]] / 60)</f>
        <v>4545.454545454545</v>
      </c>
      <c r="S916" t="str">
        <f>IF(Table4[[#This Row],[avg_games_per_stream]] &gt; 2, "Variety", "Focused")</f>
        <v>Focused</v>
      </c>
      <c r="T916" s="4">
        <f>Table4[[#This Row],[avg_viewers_per_stream]] / Table4[[#This Row],[total_followers]]</f>
        <v>2.0434782608695651E-2</v>
      </c>
    </row>
    <row r="917" spans="1:20">
      <c r="A917">
        <v>917</v>
      </c>
      <c r="B917" t="s">
        <v>1169</v>
      </c>
      <c r="C917" t="s">
        <v>7</v>
      </c>
      <c r="D917" t="s">
        <v>39</v>
      </c>
      <c r="E917" t="s">
        <v>632</v>
      </c>
      <c r="F917" t="s">
        <v>40</v>
      </c>
      <c r="G917" s="3">
        <v>4.8</v>
      </c>
      <c r="H917">
        <v>3460</v>
      </c>
      <c r="I917">
        <v>4528</v>
      </c>
      <c r="J917">
        <v>1.7</v>
      </c>
      <c r="K917">
        <v>5019</v>
      </c>
      <c r="L917" s="2">
        <v>410000</v>
      </c>
      <c r="M917" s="2">
        <v>5360000</v>
      </c>
      <c r="N917">
        <v>55</v>
      </c>
      <c r="O917">
        <v>5</v>
      </c>
      <c r="P917" t="s">
        <v>20</v>
      </c>
      <c r="Q917" t="s">
        <v>16</v>
      </c>
      <c r="R917" s="2">
        <f>Table4[[#This Row],[total_followers]]/(Table4[[#This Row],[total_time_streamed]] / 60)</f>
        <v>4901.3747758517629</v>
      </c>
      <c r="S917" t="str">
        <f>IF(Table4[[#This Row],[avg_games_per_stream]] &gt; 2, "Variety", "Focused")</f>
        <v>Focused</v>
      </c>
      <c r="T917" s="4">
        <f>Table4[[#This Row],[avg_viewers_per_stream]] / Table4[[#This Row],[total_followers]]</f>
        <v>1.1043902439024391E-2</v>
      </c>
    </row>
    <row r="918" spans="1:20">
      <c r="A918">
        <v>918</v>
      </c>
      <c r="B918" t="s">
        <v>1170</v>
      </c>
      <c r="C918" t="s">
        <v>5</v>
      </c>
      <c r="D918" t="s">
        <v>39</v>
      </c>
      <c r="E918" t="s">
        <v>109</v>
      </c>
      <c r="F918" t="s">
        <v>66</v>
      </c>
      <c r="G918" s="3">
        <v>6.8</v>
      </c>
      <c r="H918">
        <v>320</v>
      </c>
      <c r="I918">
        <v>9230</v>
      </c>
      <c r="J918">
        <v>1.1000000000000001</v>
      </c>
      <c r="K918">
        <v>7798</v>
      </c>
      <c r="L918" s="2">
        <v>40300</v>
      </c>
      <c r="M918" s="2">
        <v>1160000</v>
      </c>
      <c r="N918">
        <v>30</v>
      </c>
      <c r="O918">
        <v>5.3</v>
      </c>
      <c r="P918" t="s">
        <v>14</v>
      </c>
      <c r="Q918" t="s">
        <v>15</v>
      </c>
      <c r="R918" s="2">
        <f>Table4[[#This Row],[total_followers]]/(Table4[[#This Row],[total_time_streamed]] / 60)</f>
        <v>310.07950756604259</v>
      </c>
      <c r="S918" t="str">
        <f>IF(Table4[[#This Row],[avg_games_per_stream]] &gt; 2, "Variety", "Focused")</f>
        <v>Focused</v>
      </c>
      <c r="T918" s="4">
        <f>Table4[[#This Row],[avg_viewers_per_stream]] / Table4[[#This Row],[total_followers]]</f>
        <v>0.22903225806451613</v>
      </c>
    </row>
    <row r="919" spans="1:20">
      <c r="A919">
        <v>919</v>
      </c>
      <c r="B919" t="s">
        <v>1171</v>
      </c>
      <c r="C919" t="s">
        <v>3</v>
      </c>
      <c r="D919" t="s">
        <v>39</v>
      </c>
      <c r="E919" t="s">
        <v>113</v>
      </c>
      <c r="F919" t="s">
        <v>1172</v>
      </c>
      <c r="G919" s="3">
        <v>2.7</v>
      </c>
      <c r="H919">
        <v>4940</v>
      </c>
      <c r="I919">
        <v>40</v>
      </c>
      <c r="J919">
        <v>1</v>
      </c>
      <c r="K919">
        <v>1130</v>
      </c>
      <c r="L919" s="2">
        <v>19800</v>
      </c>
      <c r="M919" s="2">
        <v>333</v>
      </c>
      <c r="N919">
        <v>4</v>
      </c>
      <c r="O919">
        <v>0.1</v>
      </c>
      <c r="P919" t="s">
        <v>16</v>
      </c>
      <c r="Q919" t="s">
        <v>14</v>
      </c>
      <c r="R919" s="2">
        <f>Table4[[#This Row],[total_followers]]/(Table4[[#This Row],[total_time_streamed]] / 60)</f>
        <v>1051.3274336283187</v>
      </c>
      <c r="S919" t="str">
        <f>IF(Table4[[#This Row],[avg_games_per_stream]] &gt; 2, "Variety", "Focused")</f>
        <v>Focused</v>
      </c>
      <c r="T919" s="4">
        <f>Table4[[#This Row],[avg_viewers_per_stream]] / Table4[[#This Row],[total_followers]]</f>
        <v>2.0202020202020202E-3</v>
      </c>
    </row>
    <row r="920" spans="1:20">
      <c r="A920">
        <v>920</v>
      </c>
      <c r="B920" t="s">
        <v>1173</v>
      </c>
      <c r="C920" t="s">
        <v>3</v>
      </c>
      <c r="D920" t="s">
        <v>39</v>
      </c>
      <c r="E920" t="s">
        <v>56</v>
      </c>
      <c r="F920" t="s">
        <v>40</v>
      </c>
      <c r="G920" s="3">
        <v>4.4000000000000004</v>
      </c>
      <c r="H920">
        <v>6040</v>
      </c>
      <c r="I920">
        <v>0</v>
      </c>
      <c r="J920">
        <v>1.8</v>
      </c>
      <c r="K920">
        <v>960</v>
      </c>
      <c r="L920" s="2">
        <v>14200</v>
      </c>
      <c r="M920" s="2">
        <v>0</v>
      </c>
      <c r="N920">
        <v>8</v>
      </c>
      <c r="O920">
        <v>2.7</v>
      </c>
      <c r="P920" t="s">
        <v>18</v>
      </c>
      <c r="Q920" t="s">
        <v>15</v>
      </c>
      <c r="R920" s="2">
        <f>Table4[[#This Row],[total_followers]]/(Table4[[#This Row],[total_time_streamed]] / 60)</f>
        <v>887.5</v>
      </c>
      <c r="S920" t="str">
        <f>IF(Table4[[#This Row],[avg_games_per_stream]] &gt; 2, "Variety", "Focused")</f>
        <v>Focused</v>
      </c>
      <c r="T920" s="4">
        <f>Table4[[#This Row],[avg_viewers_per_stream]] / Table4[[#This Row],[total_followers]]</f>
        <v>0</v>
      </c>
    </row>
    <row r="921" spans="1:20">
      <c r="A921">
        <v>921</v>
      </c>
      <c r="B921" t="s">
        <v>1174</v>
      </c>
      <c r="C921" t="s">
        <v>3</v>
      </c>
      <c r="D921" t="s">
        <v>39</v>
      </c>
      <c r="E921" t="s">
        <v>46</v>
      </c>
      <c r="F921" t="s">
        <v>54</v>
      </c>
      <c r="G921" s="3">
        <v>5.2</v>
      </c>
      <c r="H921">
        <v>4770</v>
      </c>
      <c r="I921">
        <v>25425</v>
      </c>
      <c r="J921">
        <v>1.9</v>
      </c>
      <c r="K921">
        <v>11422</v>
      </c>
      <c r="L921" s="2">
        <v>996000</v>
      </c>
      <c r="M921" s="2">
        <v>51100000</v>
      </c>
      <c r="N921">
        <v>263</v>
      </c>
      <c r="O921">
        <v>5.6</v>
      </c>
      <c r="P921" t="s">
        <v>20</v>
      </c>
      <c r="Q921" t="s">
        <v>14</v>
      </c>
      <c r="R921" s="2">
        <f>Table4[[#This Row],[total_followers]]/(Table4[[#This Row],[total_time_streamed]] / 60)</f>
        <v>5232.008404832779</v>
      </c>
      <c r="S921" t="str">
        <f>IF(Table4[[#This Row],[avg_games_per_stream]] &gt; 2, "Variety", "Focused")</f>
        <v>Focused</v>
      </c>
      <c r="T921" s="4">
        <f>Table4[[#This Row],[avg_viewers_per_stream]] / Table4[[#This Row],[total_followers]]</f>
        <v>2.552710843373494E-2</v>
      </c>
    </row>
    <row r="922" spans="1:20">
      <c r="A922">
        <v>922</v>
      </c>
      <c r="B922" t="s">
        <v>1175</v>
      </c>
      <c r="C922" t="s">
        <v>91</v>
      </c>
      <c r="D922" t="s">
        <v>39</v>
      </c>
      <c r="E922" t="s">
        <v>40</v>
      </c>
      <c r="F922" t="s">
        <v>518</v>
      </c>
      <c r="G922" s="3">
        <v>3.1</v>
      </c>
      <c r="H922">
        <v>4380</v>
      </c>
      <c r="I922">
        <v>4588</v>
      </c>
      <c r="J922">
        <v>1.8</v>
      </c>
      <c r="K922">
        <v>2284</v>
      </c>
      <c r="L922" s="2">
        <v>257000</v>
      </c>
      <c r="M922" s="2">
        <v>2650000</v>
      </c>
      <c r="N922">
        <v>190</v>
      </c>
      <c r="O922">
        <v>2</v>
      </c>
      <c r="P922" t="s">
        <v>15</v>
      </c>
      <c r="Q922" t="s">
        <v>16</v>
      </c>
      <c r="R922" s="2">
        <f>Table4[[#This Row],[total_followers]]/(Table4[[#This Row],[total_time_streamed]] / 60)</f>
        <v>6751.3134851138348</v>
      </c>
      <c r="S922" t="str">
        <f>IF(Table4[[#This Row],[avg_games_per_stream]] &gt; 2, "Variety", "Focused")</f>
        <v>Focused</v>
      </c>
      <c r="T922" s="4">
        <f>Table4[[#This Row],[avg_viewers_per_stream]] / Table4[[#This Row],[total_followers]]</f>
        <v>1.7852140077821013E-2</v>
      </c>
    </row>
    <row r="923" spans="1:20">
      <c r="A923">
        <v>923</v>
      </c>
      <c r="B923" t="s">
        <v>1176</v>
      </c>
      <c r="C923" t="s">
        <v>61</v>
      </c>
      <c r="D923" t="s">
        <v>39</v>
      </c>
      <c r="E923" t="s">
        <v>858</v>
      </c>
      <c r="F923" t="s">
        <v>859</v>
      </c>
      <c r="G923" s="3">
        <v>5.2</v>
      </c>
      <c r="H923">
        <v>1120</v>
      </c>
      <c r="I923">
        <v>19253</v>
      </c>
      <c r="J923">
        <v>1.4</v>
      </c>
      <c r="K923">
        <v>8879</v>
      </c>
      <c r="L923" s="2">
        <v>223000</v>
      </c>
      <c r="M923" s="2">
        <v>37600000</v>
      </c>
      <c r="N923">
        <v>114</v>
      </c>
      <c r="O923">
        <v>4.4000000000000004</v>
      </c>
      <c r="P923" t="s">
        <v>18</v>
      </c>
      <c r="Q923" t="s">
        <v>18</v>
      </c>
      <c r="R923" s="2">
        <f>Table4[[#This Row],[total_followers]]/(Table4[[#This Row],[total_time_streamed]] / 60)</f>
        <v>1506.9264556819462</v>
      </c>
      <c r="S923" t="str">
        <f>IF(Table4[[#This Row],[avg_games_per_stream]] &gt; 2, "Variety", "Focused")</f>
        <v>Focused</v>
      </c>
      <c r="T923" s="4">
        <f>Table4[[#This Row],[avg_viewers_per_stream]] / Table4[[#This Row],[total_followers]]</f>
        <v>8.6336322869955157E-2</v>
      </c>
    </row>
    <row r="924" spans="1:20">
      <c r="A924">
        <v>924</v>
      </c>
      <c r="B924" t="s">
        <v>1177</v>
      </c>
      <c r="C924" t="s">
        <v>3</v>
      </c>
      <c r="D924" t="s">
        <v>39</v>
      </c>
      <c r="E924" t="s">
        <v>46</v>
      </c>
      <c r="F924" t="s">
        <v>51</v>
      </c>
      <c r="G924" s="3">
        <v>4.8</v>
      </c>
      <c r="H924">
        <v>3720</v>
      </c>
      <c r="I924">
        <v>6220</v>
      </c>
      <c r="J924">
        <v>1</v>
      </c>
      <c r="K924">
        <v>6551</v>
      </c>
      <c r="L924" s="2">
        <v>505000</v>
      </c>
      <c r="M924" s="2">
        <v>842000</v>
      </c>
      <c r="N924">
        <v>11</v>
      </c>
      <c r="O924">
        <v>4.2</v>
      </c>
      <c r="P924" t="s">
        <v>20</v>
      </c>
      <c r="Q924" t="s">
        <v>15</v>
      </c>
      <c r="R924" s="2">
        <f>Table4[[#This Row],[total_followers]]/(Table4[[#This Row],[total_time_streamed]] / 60)</f>
        <v>4625.2480537322544</v>
      </c>
      <c r="S924" t="str">
        <f>IF(Table4[[#This Row],[avg_games_per_stream]] &gt; 2, "Variety", "Focused")</f>
        <v>Focused</v>
      </c>
      <c r="T924" s="4">
        <f>Table4[[#This Row],[avg_viewers_per_stream]] / Table4[[#This Row],[total_followers]]</f>
        <v>1.2316831683168317E-2</v>
      </c>
    </row>
    <row r="925" spans="1:20">
      <c r="A925">
        <v>925</v>
      </c>
      <c r="B925" t="s">
        <v>1178</v>
      </c>
      <c r="C925" t="s">
        <v>63</v>
      </c>
      <c r="D925" t="s">
        <v>39</v>
      </c>
      <c r="E925" t="s">
        <v>595</v>
      </c>
      <c r="G925" s="3">
        <v>6.8</v>
      </c>
      <c r="H925">
        <v>10</v>
      </c>
      <c r="I925">
        <v>0</v>
      </c>
      <c r="J925">
        <v>1</v>
      </c>
      <c r="K925">
        <v>70</v>
      </c>
      <c r="L925" s="2">
        <v>1</v>
      </c>
      <c r="M925" s="2">
        <v>0</v>
      </c>
      <c r="N925">
        <v>1</v>
      </c>
      <c r="O925">
        <v>1</v>
      </c>
      <c r="P925" t="s">
        <v>17</v>
      </c>
      <c r="Q925" t="s">
        <v>17</v>
      </c>
      <c r="R925" s="2">
        <f>Table4[[#This Row],[total_followers]]/(Table4[[#This Row],[total_time_streamed]] / 60)</f>
        <v>0.8571428571428571</v>
      </c>
      <c r="S925" t="str">
        <f>IF(Table4[[#This Row],[avg_games_per_stream]] &gt; 2, "Variety", "Focused")</f>
        <v>Focused</v>
      </c>
      <c r="T925" s="4">
        <f>Table4[[#This Row],[avg_viewers_per_stream]] / Table4[[#This Row],[total_followers]]</f>
        <v>0</v>
      </c>
    </row>
    <row r="926" spans="1:20">
      <c r="A926">
        <v>926</v>
      </c>
      <c r="B926" t="s">
        <v>1179</v>
      </c>
      <c r="C926" t="s">
        <v>3</v>
      </c>
      <c r="D926" t="s">
        <v>39</v>
      </c>
      <c r="E926" t="s">
        <v>371</v>
      </c>
      <c r="F926" t="s">
        <v>971</v>
      </c>
      <c r="G926" s="3">
        <v>4.3</v>
      </c>
      <c r="H926">
        <v>4310</v>
      </c>
      <c r="I926">
        <v>5203</v>
      </c>
      <c r="J926">
        <v>1.1000000000000001</v>
      </c>
      <c r="K926">
        <v>3945</v>
      </c>
      <c r="L926" s="2">
        <v>358000</v>
      </c>
      <c r="M926" s="2">
        <v>4340000</v>
      </c>
      <c r="N926">
        <v>37</v>
      </c>
      <c r="O926">
        <v>2.4</v>
      </c>
      <c r="P926" t="s">
        <v>18</v>
      </c>
      <c r="Q926" t="s">
        <v>20</v>
      </c>
      <c r="R926" s="2">
        <f>Table4[[#This Row],[total_followers]]/(Table4[[#This Row],[total_time_streamed]] / 60)</f>
        <v>5444.8669201520916</v>
      </c>
      <c r="S926" t="str">
        <f>IF(Table4[[#This Row],[avg_games_per_stream]] &gt; 2, "Variety", "Focused")</f>
        <v>Focused</v>
      </c>
      <c r="T926" s="4">
        <f>Table4[[#This Row],[avg_viewers_per_stream]] / Table4[[#This Row],[total_followers]]</f>
        <v>1.4533519553072626E-2</v>
      </c>
    </row>
    <row r="927" spans="1:20">
      <c r="A927">
        <v>927</v>
      </c>
      <c r="B927" t="s">
        <v>1180</v>
      </c>
      <c r="C927" t="s">
        <v>3</v>
      </c>
      <c r="D927" t="s">
        <v>39</v>
      </c>
      <c r="E927" t="s">
        <v>40</v>
      </c>
      <c r="F927" t="s">
        <v>371</v>
      </c>
      <c r="G927" s="3">
        <v>4.8</v>
      </c>
      <c r="H927">
        <v>2110</v>
      </c>
      <c r="I927">
        <v>4232</v>
      </c>
      <c r="J927">
        <v>2.4</v>
      </c>
      <c r="K927">
        <v>8179</v>
      </c>
      <c r="L927" s="2">
        <v>476000</v>
      </c>
      <c r="M927" s="2">
        <v>10200000</v>
      </c>
      <c r="N927">
        <v>497</v>
      </c>
      <c r="O927">
        <v>5.8</v>
      </c>
      <c r="P927" t="s">
        <v>20</v>
      </c>
      <c r="Q927" t="s">
        <v>19</v>
      </c>
      <c r="R927" s="2">
        <f>Table4[[#This Row],[total_followers]]/(Table4[[#This Row],[total_time_streamed]] / 60)</f>
        <v>3491.8694216896934</v>
      </c>
      <c r="S927" t="str">
        <f>IF(Table4[[#This Row],[avg_games_per_stream]] &gt; 2, "Variety", "Focused")</f>
        <v>Variety</v>
      </c>
      <c r="T927" s="4">
        <f>Table4[[#This Row],[avg_viewers_per_stream]] / Table4[[#This Row],[total_followers]]</f>
        <v>8.8907563025210079E-3</v>
      </c>
    </row>
    <row r="928" spans="1:20">
      <c r="A928">
        <v>928</v>
      </c>
      <c r="B928" t="s">
        <v>1181</v>
      </c>
      <c r="C928" t="s">
        <v>3</v>
      </c>
      <c r="D928" t="s">
        <v>39</v>
      </c>
      <c r="E928" t="s">
        <v>88</v>
      </c>
      <c r="F928" t="s">
        <v>40</v>
      </c>
      <c r="G928" s="3">
        <v>7.1</v>
      </c>
      <c r="H928">
        <v>2170</v>
      </c>
      <c r="I928">
        <v>3374</v>
      </c>
      <c r="J928">
        <v>1.3</v>
      </c>
      <c r="K928">
        <v>921</v>
      </c>
      <c r="L928" s="2">
        <v>293000</v>
      </c>
      <c r="M928" s="2">
        <v>4550000</v>
      </c>
      <c r="N928">
        <v>58</v>
      </c>
      <c r="O928">
        <v>4.5</v>
      </c>
      <c r="P928" t="s">
        <v>17</v>
      </c>
      <c r="Q928" t="s">
        <v>16</v>
      </c>
      <c r="R928" s="2">
        <f>Table4[[#This Row],[total_followers]]/(Table4[[#This Row],[total_time_streamed]] / 60)</f>
        <v>19087.947882736156</v>
      </c>
      <c r="S928" t="str">
        <f>IF(Table4[[#This Row],[avg_games_per_stream]] &gt; 2, "Variety", "Focused")</f>
        <v>Focused</v>
      </c>
      <c r="T928" s="4">
        <f>Table4[[#This Row],[avg_viewers_per_stream]] / Table4[[#This Row],[total_followers]]</f>
        <v>1.1515358361774744E-2</v>
      </c>
    </row>
    <row r="929" spans="1:20">
      <c r="A929">
        <v>929</v>
      </c>
      <c r="B929" t="s">
        <v>1182</v>
      </c>
      <c r="C929" t="s">
        <v>3</v>
      </c>
      <c r="D929" t="s">
        <v>39</v>
      </c>
      <c r="E929" t="s">
        <v>66</v>
      </c>
      <c r="F929" t="s">
        <v>40</v>
      </c>
      <c r="G929" s="3">
        <v>1.8</v>
      </c>
      <c r="H929">
        <v>2230</v>
      </c>
      <c r="I929">
        <v>1650</v>
      </c>
      <c r="J929">
        <v>1</v>
      </c>
      <c r="K929">
        <v>1391</v>
      </c>
      <c r="L929" s="2">
        <v>144000</v>
      </c>
      <c r="M929" s="2">
        <v>107000</v>
      </c>
      <c r="N929">
        <v>7</v>
      </c>
      <c r="O929">
        <v>2.7</v>
      </c>
      <c r="P929" t="s">
        <v>16</v>
      </c>
      <c r="Q929" t="s">
        <v>14</v>
      </c>
      <c r="R929" s="2">
        <f>Table4[[#This Row],[total_followers]]/(Table4[[#This Row],[total_time_streamed]] / 60)</f>
        <v>6211.3587347232206</v>
      </c>
      <c r="S929" t="str">
        <f>IF(Table4[[#This Row],[avg_games_per_stream]] &gt; 2, "Variety", "Focused")</f>
        <v>Focused</v>
      </c>
      <c r="T929" s="4">
        <f>Table4[[#This Row],[avg_viewers_per_stream]] / Table4[[#This Row],[total_followers]]</f>
        <v>1.1458333333333333E-2</v>
      </c>
    </row>
    <row r="930" spans="1:20">
      <c r="A930">
        <v>930</v>
      </c>
      <c r="B930" t="s">
        <v>1183</v>
      </c>
      <c r="C930" t="s">
        <v>4</v>
      </c>
      <c r="D930" t="s">
        <v>39</v>
      </c>
      <c r="E930" t="s">
        <v>46</v>
      </c>
      <c r="F930" t="s">
        <v>1184</v>
      </c>
      <c r="G930" s="3">
        <v>6</v>
      </c>
      <c r="H930">
        <v>2150</v>
      </c>
      <c r="I930">
        <v>3920</v>
      </c>
      <c r="J930">
        <v>1.4</v>
      </c>
      <c r="K930">
        <v>2769</v>
      </c>
      <c r="L930" s="2">
        <v>119000</v>
      </c>
      <c r="M930" s="2">
        <v>281000</v>
      </c>
      <c r="N930">
        <v>48</v>
      </c>
      <c r="O930">
        <v>1.2</v>
      </c>
      <c r="P930" t="s">
        <v>16</v>
      </c>
      <c r="Q930" t="s">
        <v>16</v>
      </c>
      <c r="R930" s="2">
        <f>Table4[[#This Row],[total_followers]]/(Table4[[#This Row],[total_time_streamed]] / 60)</f>
        <v>2578.5482123510292</v>
      </c>
      <c r="S930" t="str">
        <f>IF(Table4[[#This Row],[avg_games_per_stream]] &gt; 2, "Variety", "Focused")</f>
        <v>Focused</v>
      </c>
      <c r="T930" s="4">
        <f>Table4[[#This Row],[avg_viewers_per_stream]] / Table4[[#This Row],[total_followers]]</f>
        <v>3.2941176470588238E-2</v>
      </c>
    </row>
    <row r="931" spans="1:20">
      <c r="A931">
        <v>931</v>
      </c>
      <c r="B931" t="s">
        <v>1185</v>
      </c>
      <c r="C931" t="s">
        <v>3</v>
      </c>
      <c r="D931" t="s">
        <v>39</v>
      </c>
      <c r="E931" t="s">
        <v>40</v>
      </c>
      <c r="F931" t="s">
        <v>68</v>
      </c>
      <c r="G931" s="3">
        <v>5.2</v>
      </c>
      <c r="H931">
        <v>6930</v>
      </c>
      <c r="I931">
        <v>3997</v>
      </c>
      <c r="J931">
        <v>2.1</v>
      </c>
      <c r="K931">
        <v>9854</v>
      </c>
      <c r="L931" s="2">
        <v>1500000</v>
      </c>
      <c r="M931" s="2">
        <v>88700000</v>
      </c>
      <c r="N931">
        <v>198</v>
      </c>
      <c r="O931">
        <v>4.9000000000000004</v>
      </c>
      <c r="P931" t="s">
        <v>18</v>
      </c>
      <c r="Q931" t="s">
        <v>20</v>
      </c>
      <c r="R931" s="2">
        <f>Table4[[#This Row],[total_followers]]/(Table4[[#This Row],[total_time_streamed]] / 60)</f>
        <v>9133.3468642175776</v>
      </c>
      <c r="S931" t="str">
        <f>IF(Table4[[#This Row],[avg_games_per_stream]] &gt; 2, "Variety", "Focused")</f>
        <v>Variety</v>
      </c>
      <c r="T931" s="4">
        <f>Table4[[#This Row],[avg_viewers_per_stream]] / Table4[[#This Row],[total_followers]]</f>
        <v>2.6646666666666667E-3</v>
      </c>
    </row>
    <row r="932" spans="1:20">
      <c r="A932">
        <v>932</v>
      </c>
      <c r="B932" t="s">
        <v>1186</v>
      </c>
      <c r="C932" t="s">
        <v>3</v>
      </c>
      <c r="D932" t="s">
        <v>39</v>
      </c>
      <c r="E932" t="s">
        <v>79</v>
      </c>
      <c r="F932" t="s">
        <v>93</v>
      </c>
      <c r="G932" s="3">
        <v>8</v>
      </c>
      <c r="H932">
        <v>1860</v>
      </c>
      <c r="I932">
        <v>3426</v>
      </c>
      <c r="J932">
        <v>1.2</v>
      </c>
      <c r="K932">
        <v>18972</v>
      </c>
      <c r="L932" s="2">
        <v>665000</v>
      </c>
      <c r="M932" s="2">
        <v>12200000</v>
      </c>
      <c r="N932">
        <v>70</v>
      </c>
      <c r="O932">
        <v>6</v>
      </c>
      <c r="P932" t="s">
        <v>20</v>
      </c>
      <c r="Q932" t="s">
        <v>19</v>
      </c>
      <c r="R932" s="2">
        <f>Table4[[#This Row],[total_followers]]/(Table4[[#This Row],[total_time_streamed]] / 60)</f>
        <v>2103.0993042378241</v>
      </c>
      <c r="S932" t="str">
        <f>IF(Table4[[#This Row],[avg_games_per_stream]] &gt; 2, "Variety", "Focused")</f>
        <v>Focused</v>
      </c>
      <c r="T932" s="4">
        <f>Table4[[#This Row],[avg_viewers_per_stream]] / Table4[[#This Row],[total_followers]]</f>
        <v>5.1518796992481202E-3</v>
      </c>
    </row>
    <row r="933" spans="1:20">
      <c r="A933">
        <v>933</v>
      </c>
      <c r="B933" t="s">
        <v>1187</v>
      </c>
      <c r="C933" t="s">
        <v>4</v>
      </c>
      <c r="D933" t="s">
        <v>39</v>
      </c>
      <c r="E933" t="s">
        <v>121</v>
      </c>
      <c r="F933" t="s">
        <v>109</v>
      </c>
      <c r="G933" s="3">
        <v>3.6</v>
      </c>
      <c r="H933">
        <v>3820</v>
      </c>
      <c r="I933">
        <v>8784</v>
      </c>
      <c r="J933">
        <v>1.2</v>
      </c>
      <c r="K933">
        <v>7274</v>
      </c>
      <c r="L933" s="2">
        <v>785000</v>
      </c>
      <c r="M933" s="2">
        <v>18000000</v>
      </c>
      <c r="N933">
        <v>102</v>
      </c>
      <c r="O933">
        <v>5.0999999999999996</v>
      </c>
      <c r="P933" t="s">
        <v>17</v>
      </c>
      <c r="Q933" t="s">
        <v>16</v>
      </c>
      <c r="R933" s="2">
        <f>Table4[[#This Row],[total_followers]]/(Table4[[#This Row],[total_time_streamed]] / 60)</f>
        <v>6475.1168545504534</v>
      </c>
      <c r="S933" t="str">
        <f>IF(Table4[[#This Row],[avg_games_per_stream]] &gt; 2, "Variety", "Focused")</f>
        <v>Focused</v>
      </c>
      <c r="T933" s="4">
        <f>Table4[[#This Row],[avg_viewers_per_stream]] / Table4[[#This Row],[total_followers]]</f>
        <v>1.1189808917197452E-2</v>
      </c>
    </row>
    <row r="934" spans="1:20">
      <c r="A934">
        <v>934</v>
      </c>
      <c r="B934" t="s">
        <v>1188</v>
      </c>
      <c r="C934" t="s">
        <v>5</v>
      </c>
      <c r="D934" t="s">
        <v>39</v>
      </c>
      <c r="E934" t="s">
        <v>68</v>
      </c>
      <c r="F934" t="s">
        <v>66</v>
      </c>
      <c r="G934" s="3">
        <v>6.8</v>
      </c>
      <c r="H934">
        <v>290</v>
      </c>
      <c r="I934">
        <v>1522</v>
      </c>
      <c r="J934">
        <v>1.2</v>
      </c>
      <c r="K934">
        <v>14578</v>
      </c>
      <c r="L934" s="2">
        <v>70600</v>
      </c>
      <c r="M934" s="2">
        <v>3750000</v>
      </c>
      <c r="N934">
        <v>186</v>
      </c>
      <c r="O934">
        <v>5.5</v>
      </c>
      <c r="P934" t="s">
        <v>15</v>
      </c>
      <c r="Q934" t="s">
        <v>15</v>
      </c>
      <c r="R934" s="2">
        <f>Table4[[#This Row],[total_followers]]/(Table4[[#This Row],[total_time_streamed]] / 60)</f>
        <v>290.57483879818903</v>
      </c>
      <c r="S934" t="str">
        <f>IF(Table4[[#This Row],[avg_games_per_stream]] &gt; 2, "Variety", "Focused")</f>
        <v>Focused</v>
      </c>
      <c r="T934" s="4">
        <f>Table4[[#This Row],[avg_viewers_per_stream]] / Table4[[#This Row],[total_followers]]</f>
        <v>2.1558073654390934E-2</v>
      </c>
    </row>
    <row r="935" spans="1:20">
      <c r="A935">
        <v>935</v>
      </c>
      <c r="B935" t="s">
        <v>1189</v>
      </c>
      <c r="C935" t="s">
        <v>63</v>
      </c>
      <c r="D935" t="s">
        <v>39</v>
      </c>
      <c r="E935" t="s">
        <v>595</v>
      </c>
      <c r="G935" s="3">
        <v>10.3</v>
      </c>
      <c r="H935">
        <v>8650</v>
      </c>
      <c r="I935">
        <v>0</v>
      </c>
      <c r="J935">
        <v>1</v>
      </c>
      <c r="K935">
        <v>210</v>
      </c>
      <c r="L935" s="2">
        <v>865</v>
      </c>
      <c r="M935" s="2">
        <v>0</v>
      </c>
      <c r="N935">
        <v>1</v>
      </c>
      <c r="O935">
        <v>0.5</v>
      </c>
      <c r="P935" t="s">
        <v>16</v>
      </c>
      <c r="Q935" t="s">
        <v>14</v>
      </c>
      <c r="R935" s="2">
        <f>Table4[[#This Row],[total_followers]]/(Table4[[#This Row],[total_time_streamed]] / 60)</f>
        <v>247.14285714285714</v>
      </c>
      <c r="S935" t="str">
        <f>IF(Table4[[#This Row],[avg_games_per_stream]] &gt; 2, "Variety", "Focused")</f>
        <v>Focused</v>
      </c>
      <c r="T935" s="4">
        <f>Table4[[#This Row],[avg_viewers_per_stream]] / Table4[[#This Row],[total_followers]]</f>
        <v>0</v>
      </c>
    </row>
    <row r="936" spans="1:20">
      <c r="A936">
        <v>936</v>
      </c>
      <c r="B936" t="s">
        <v>1190</v>
      </c>
      <c r="C936" t="s">
        <v>7</v>
      </c>
      <c r="D936" t="s">
        <v>39</v>
      </c>
      <c r="E936" t="s">
        <v>104</v>
      </c>
      <c r="F936" t="s">
        <v>74</v>
      </c>
      <c r="G936" s="3">
        <v>2.4</v>
      </c>
      <c r="H936">
        <v>950</v>
      </c>
      <c r="I936">
        <v>0</v>
      </c>
      <c r="J936">
        <v>1</v>
      </c>
      <c r="K936">
        <v>5230</v>
      </c>
      <c r="L936" s="2">
        <v>20300</v>
      </c>
      <c r="M936" s="2">
        <v>0</v>
      </c>
      <c r="N936">
        <v>13</v>
      </c>
      <c r="O936">
        <v>2.8</v>
      </c>
      <c r="P936" t="s">
        <v>19</v>
      </c>
      <c r="Q936" t="s">
        <v>19</v>
      </c>
      <c r="R936" s="2">
        <f>Table4[[#This Row],[total_followers]]/(Table4[[#This Row],[total_time_streamed]] / 60)</f>
        <v>232.88718929254301</v>
      </c>
      <c r="S936" t="str">
        <f>IF(Table4[[#This Row],[avg_games_per_stream]] &gt; 2, "Variety", "Focused")</f>
        <v>Focused</v>
      </c>
      <c r="T936" s="4">
        <f>Table4[[#This Row],[avg_viewers_per_stream]] / Table4[[#This Row],[total_followers]]</f>
        <v>0</v>
      </c>
    </row>
    <row r="937" spans="1:20">
      <c r="A937">
        <v>937</v>
      </c>
      <c r="B937" t="s">
        <v>1191</v>
      </c>
      <c r="C937" t="s">
        <v>4</v>
      </c>
      <c r="D937" t="s">
        <v>39</v>
      </c>
      <c r="E937" t="s">
        <v>46</v>
      </c>
      <c r="F937" t="s">
        <v>1192</v>
      </c>
      <c r="G937" s="3">
        <v>3.8</v>
      </c>
      <c r="H937">
        <v>1320</v>
      </c>
      <c r="I937">
        <v>2608</v>
      </c>
      <c r="J937">
        <v>1</v>
      </c>
      <c r="K937">
        <v>2331</v>
      </c>
      <c r="L937" s="2">
        <v>97800</v>
      </c>
      <c r="M937" s="2">
        <v>1940000</v>
      </c>
      <c r="N937">
        <v>3</v>
      </c>
      <c r="O937">
        <v>2.1</v>
      </c>
      <c r="P937" t="s">
        <v>16</v>
      </c>
      <c r="Q937" t="s">
        <v>16</v>
      </c>
      <c r="R937" s="2">
        <f>Table4[[#This Row],[total_followers]]/(Table4[[#This Row],[total_time_streamed]] / 60)</f>
        <v>2517.3745173745174</v>
      </c>
      <c r="S937" t="str">
        <f>IF(Table4[[#This Row],[avg_games_per_stream]] &gt; 2, "Variety", "Focused")</f>
        <v>Focused</v>
      </c>
      <c r="T937" s="4">
        <f>Table4[[#This Row],[avg_viewers_per_stream]] / Table4[[#This Row],[total_followers]]</f>
        <v>2.6666666666666668E-2</v>
      </c>
    </row>
    <row r="938" spans="1:20">
      <c r="A938">
        <v>938</v>
      </c>
      <c r="B938" t="s">
        <v>1193</v>
      </c>
      <c r="C938" t="s">
        <v>6</v>
      </c>
      <c r="D938" t="s">
        <v>39</v>
      </c>
      <c r="E938" t="s">
        <v>85</v>
      </c>
      <c r="F938" t="s">
        <v>98</v>
      </c>
      <c r="G938" s="3">
        <v>13.3</v>
      </c>
      <c r="H938">
        <v>1520</v>
      </c>
      <c r="I938">
        <v>0</v>
      </c>
      <c r="J938">
        <v>1</v>
      </c>
      <c r="K938">
        <v>530</v>
      </c>
      <c r="L938" s="2">
        <v>1400</v>
      </c>
      <c r="M938" s="2">
        <v>0</v>
      </c>
      <c r="N938">
        <v>2</v>
      </c>
      <c r="O938">
        <v>0.8</v>
      </c>
      <c r="P938" t="s">
        <v>16</v>
      </c>
      <c r="Q938" t="s">
        <v>16</v>
      </c>
      <c r="R938" s="2">
        <f>Table4[[#This Row],[total_followers]]/(Table4[[#This Row],[total_time_streamed]] / 60)</f>
        <v>158.49056603773585</v>
      </c>
      <c r="S938" t="str">
        <f>IF(Table4[[#This Row],[avg_games_per_stream]] &gt; 2, "Variety", "Focused")</f>
        <v>Focused</v>
      </c>
      <c r="T938" s="4">
        <f>Table4[[#This Row],[avg_viewers_per_stream]] / Table4[[#This Row],[total_followers]]</f>
        <v>0</v>
      </c>
    </row>
    <row r="939" spans="1:20">
      <c r="A939">
        <v>939</v>
      </c>
      <c r="B939" t="s">
        <v>1194</v>
      </c>
      <c r="C939" t="s">
        <v>3</v>
      </c>
      <c r="D939" t="s">
        <v>39</v>
      </c>
      <c r="E939" t="s">
        <v>54</v>
      </c>
      <c r="F939" t="s">
        <v>56</v>
      </c>
      <c r="G939" s="3">
        <v>3.5</v>
      </c>
      <c r="H939">
        <v>2989</v>
      </c>
      <c r="I939">
        <v>56393</v>
      </c>
      <c r="J939">
        <v>1.1000000000000001</v>
      </c>
      <c r="K939">
        <v>132</v>
      </c>
      <c r="L939" s="2">
        <v>1540000</v>
      </c>
      <c r="M939" s="2">
        <v>29800000</v>
      </c>
      <c r="N939">
        <v>20</v>
      </c>
      <c r="O939">
        <v>1</v>
      </c>
      <c r="P939" t="s">
        <v>18</v>
      </c>
      <c r="Q939" t="s">
        <v>14</v>
      </c>
      <c r="R939" s="2">
        <f>Table4[[#This Row],[total_followers]]/(Table4[[#This Row],[total_time_streamed]] / 60)</f>
        <v>700000</v>
      </c>
      <c r="S939" t="str">
        <f>IF(Table4[[#This Row],[avg_games_per_stream]] &gt; 2, "Variety", "Focused")</f>
        <v>Focused</v>
      </c>
      <c r="T939" s="4">
        <f>Table4[[#This Row],[avg_viewers_per_stream]] / Table4[[#This Row],[total_followers]]</f>
        <v>3.6618831168831169E-2</v>
      </c>
    </row>
    <row r="940" spans="1:20">
      <c r="A940">
        <v>940</v>
      </c>
      <c r="B940" t="s">
        <v>1195</v>
      </c>
      <c r="C940" t="s">
        <v>61</v>
      </c>
      <c r="D940" t="s">
        <v>39</v>
      </c>
      <c r="E940" t="s">
        <v>66</v>
      </c>
      <c r="F940" t="s">
        <v>40</v>
      </c>
      <c r="G940" s="3">
        <v>5.2</v>
      </c>
      <c r="H940">
        <v>2730</v>
      </c>
      <c r="I940">
        <v>11689</v>
      </c>
      <c r="J940">
        <v>2</v>
      </c>
      <c r="K940">
        <v>11295</v>
      </c>
      <c r="L940" s="2">
        <v>516000</v>
      </c>
      <c r="M940" s="2">
        <v>24300000</v>
      </c>
      <c r="N940">
        <v>199</v>
      </c>
      <c r="O940">
        <v>4.8</v>
      </c>
      <c r="P940" t="s">
        <v>20</v>
      </c>
      <c r="Q940" t="s">
        <v>15</v>
      </c>
      <c r="R940" s="2">
        <f>Table4[[#This Row],[total_followers]]/(Table4[[#This Row],[total_time_streamed]] / 60)</f>
        <v>2741.0358565737051</v>
      </c>
      <c r="S940" t="str">
        <f>IF(Table4[[#This Row],[avg_games_per_stream]] &gt; 2, "Variety", "Focused")</f>
        <v>Focused</v>
      </c>
      <c r="T940" s="4">
        <f>Table4[[#This Row],[avg_viewers_per_stream]] / Table4[[#This Row],[total_followers]]</f>
        <v>2.2653100775193797E-2</v>
      </c>
    </row>
    <row r="941" spans="1:20">
      <c r="A941">
        <v>941</v>
      </c>
      <c r="B941" t="s">
        <v>1196</v>
      </c>
      <c r="C941" t="s">
        <v>3</v>
      </c>
      <c r="D941" t="s">
        <v>39</v>
      </c>
      <c r="E941" t="s">
        <v>109</v>
      </c>
      <c r="F941" t="s">
        <v>70</v>
      </c>
      <c r="G941" s="3">
        <v>8.8000000000000007</v>
      </c>
      <c r="H941">
        <v>930</v>
      </c>
      <c r="I941">
        <v>9590</v>
      </c>
      <c r="J941">
        <v>1.1000000000000001</v>
      </c>
      <c r="K941">
        <v>1579</v>
      </c>
      <c r="L941" s="2">
        <v>159000</v>
      </c>
      <c r="M941" s="2">
        <v>1650000</v>
      </c>
      <c r="N941">
        <v>57</v>
      </c>
      <c r="O941">
        <v>5.0999999999999996</v>
      </c>
      <c r="P941" t="s">
        <v>19</v>
      </c>
      <c r="Q941" t="s">
        <v>15</v>
      </c>
      <c r="R941" s="2">
        <f>Table4[[#This Row],[total_followers]]/(Table4[[#This Row],[total_time_streamed]] / 60)</f>
        <v>6041.7986067131096</v>
      </c>
      <c r="S941" t="str">
        <f>IF(Table4[[#This Row],[avg_games_per_stream]] &gt; 2, "Variety", "Focused")</f>
        <v>Focused</v>
      </c>
      <c r="T941" s="4">
        <f>Table4[[#This Row],[avg_viewers_per_stream]] / Table4[[#This Row],[total_followers]]</f>
        <v>6.0314465408805029E-2</v>
      </c>
    </row>
    <row r="942" spans="1:20">
      <c r="A942">
        <v>942</v>
      </c>
      <c r="B942" t="s">
        <v>1197</v>
      </c>
      <c r="C942" t="s">
        <v>6</v>
      </c>
      <c r="D942" t="s">
        <v>39</v>
      </c>
      <c r="E942" t="s">
        <v>85</v>
      </c>
      <c r="F942" t="s">
        <v>98</v>
      </c>
      <c r="G942" s="3">
        <v>13.3</v>
      </c>
      <c r="H942">
        <v>1110</v>
      </c>
      <c r="I942">
        <v>0</v>
      </c>
      <c r="J942">
        <v>1.4</v>
      </c>
      <c r="K942">
        <v>530</v>
      </c>
      <c r="L942" s="2">
        <v>1300</v>
      </c>
      <c r="M942" s="2">
        <v>0</v>
      </c>
      <c r="N942">
        <v>3</v>
      </c>
      <c r="O942">
        <v>0.8</v>
      </c>
      <c r="P942" t="s">
        <v>17</v>
      </c>
      <c r="Q942" t="s">
        <v>17</v>
      </c>
      <c r="R942" s="2">
        <f>Table4[[#This Row],[total_followers]]/(Table4[[#This Row],[total_time_streamed]] / 60)</f>
        <v>147.16981132075472</v>
      </c>
      <c r="S942" t="str">
        <f>IF(Table4[[#This Row],[avg_games_per_stream]] &gt; 2, "Variety", "Focused")</f>
        <v>Focused</v>
      </c>
      <c r="T942" s="4">
        <f>Table4[[#This Row],[avg_viewers_per_stream]] / Table4[[#This Row],[total_followers]]</f>
        <v>0</v>
      </c>
    </row>
    <row r="943" spans="1:20">
      <c r="A943">
        <v>943</v>
      </c>
      <c r="B943" t="s">
        <v>1198</v>
      </c>
      <c r="C943" t="s">
        <v>3</v>
      </c>
      <c r="D943" t="s">
        <v>39</v>
      </c>
      <c r="E943" t="s">
        <v>284</v>
      </c>
      <c r="F943" t="s">
        <v>429</v>
      </c>
      <c r="G943" s="3">
        <v>4.5999999999999996</v>
      </c>
      <c r="H943">
        <v>4440</v>
      </c>
      <c r="I943">
        <v>25988</v>
      </c>
      <c r="J943">
        <v>1.4</v>
      </c>
      <c r="K943">
        <v>4448</v>
      </c>
      <c r="L943" s="2">
        <v>428000</v>
      </c>
      <c r="M943" s="2">
        <v>25100000</v>
      </c>
      <c r="N943">
        <v>65</v>
      </c>
      <c r="O943">
        <v>4.2</v>
      </c>
      <c r="P943" t="s">
        <v>17</v>
      </c>
      <c r="Q943" t="s">
        <v>14</v>
      </c>
      <c r="R943" s="2">
        <f>Table4[[#This Row],[total_followers]]/(Table4[[#This Row],[total_time_streamed]] / 60)</f>
        <v>5773.3812949640287</v>
      </c>
      <c r="S943" t="str">
        <f>IF(Table4[[#This Row],[avg_games_per_stream]] &gt; 2, "Variety", "Focused")</f>
        <v>Focused</v>
      </c>
      <c r="T943" s="4">
        <f>Table4[[#This Row],[avg_viewers_per_stream]] / Table4[[#This Row],[total_followers]]</f>
        <v>6.0719626168224301E-2</v>
      </c>
    </row>
    <row r="944" spans="1:20">
      <c r="A944">
        <v>944</v>
      </c>
      <c r="B944" t="s">
        <v>1199</v>
      </c>
      <c r="C944" t="s">
        <v>63</v>
      </c>
      <c r="D944" t="s">
        <v>39</v>
      </c>
      <c r="E944" t="s">
        <v>40</v>
      </c>
      <c r="F944" t="s">
        <v>53</v>
      </c>
      <c r="G944" s="3">
        <v>5.8</v>
      </c>
      <c r="H944">
        <v>1240</v>
      </c>
      <c r="I944">
        <v>11664</v>
      </c>
      <c r="J944">
        <v>1.3</v>
      </c>
      <c r="K944">
        <v>12239</v>
      </c>
      <c r="L944" s="2">
        <v>537000</v>
      </c>
      <c r="M944" s="2">
        <v>48500000</v>
      </c>
      <c r="N944">
        <v>109</v>
      </c>
      <c r="O944">
        <v>5.4</v>
      </c>
      <c r="P944" t="s">
        <v>14</v>
      </c>
      <c r="Q944" t="s">
        <v>17</v>
      </c>
      <c r="R944" s="2">
        <f>Table4[[#This Row],[total_followers]]/(Table4[[#This Row],[total_time_streamed]] / 60)</f>
        <v>2632.5680202630938</v>
      </c>
      <c r="S944" t="str">
        <f>IF(Table4[[#This Row],[avg_games_per_stream]] &gt; 2, "Variety", "Focused")</f>
        <v>Focused</v>
      </c>
      <c r="T944" s="4">
        <f>Table4[[#This Row],[avg_viewers_per_stream]] / Table4[[#This Row],[total_followers]]</f>
        <v>2.1720670391061452E-2</v>
      </c>
    </row>
    <row r="945" spans="1:20">
      <c r="A945">
        <v>945</v>
      </c>
      <c r="B945" t="s">
        <v>1200</v>
      </c>
      <c r="C945" t="s">
        <v>3</v>
      </c>
      <c r="D945" t="s">
        <v>39</v>
      </c>
      <c r="E945" t="s">
        <v>74</v>
      </c>
      <c r="F945" t="s">
        <v>68</v>
      </c>
      <c r="G945" s="3">
        <v>5.3</v>
      </c>
      <c r="H945">
        <v>2360</v>
      </c>
      <c r="I945">
        <v>0</v>
      </c>
      <c r="J945">
        <v>1</v>
      </c>
      <c r="K945">
        <v>2821</v>
      </c>
      <c r="L945" s="2">
        <v>141000</v>
      </c>
      <c r="M945" s="2">
        <v>65</v>
      </c>
      <c r="N945">
        <v>6</v>
      </c>
      <c r="O945">
        <v>5.8</v>
      </c>
      <c r="P945" t="s">
        <v>15</v>
      </c>
      <c r="Q945" t="s">
        <v>17</v>
      </c>
      <c r="R945" s="2">
        <f>Table4[[#This Row],[total_followers]]/(Table4[[#This Row],[total_time_streamed]] / 60)</f>
        <v>2998.9365473236439</v>
      </c>
      <c r="S945" t="str">
        <f>IF(Table4[[#This Row],[avg_games_per_stream]] &gt; 2, "Variety", "Focused")</f>
        <v>Focused</v>
      </c>
      <c r="T945" s="4">
        <f>Table4[[#This Row],[avg_viewers_per_stream]] / Table4[[#This Row],[total_followers]]</f>
        <v>0</v>
      </c>
    </row>
    <row r="946" spans="1:20">
      <c r="A946">
        <v>946</v>
      </c>
      <c r="B946" t="s">
        <v>1201</v>
      </c>
      <c r="C946" t="s">
        <v>63</v>
      </c>
      <c r="D946" t="s">
        <v>39</v>
      </c>
      <c r="E946" t="s">
        <v>595</v>
      </c>
      <c r="G946" s="3">
        <v>2.9</v>
      </c>
      <c r="H946">
        <v>2340</v>
      </c>
      <c r="I946">
        <v>0</v>
      </c>
      <c r="J946">
        <v>1</v>
      </c>
      <c r="K946">
        <v>60</v>
      </c>
      <c r="L946" s="2">
        <v>234</v>
      </c>
      <c r="M946" s="2">
        <v>0</v>
      </c>
      <c r="N946">
        <v>1</v>
      </c>
      <c r="O946">
        <v>0.7</v>
      </c>
      <c r="P946" t="s">
        <v>16</v>
      </c>
      <c r="Q946" t="s">
        <v>16</v>
      </c>
      <c r="R946" s="2">
        <f>Table4[[#This Row],[total_followers]]/(Table4[[#This Row],[total_time_streamed]] / 60)</f>
        <v>234</v>
      </c>
      <c r="S946" t="str">
        <f>IF(Table4[[#This Row],[avg_games_per_stream]] &gt; 2, "Variety", "Focused")</f>
        <v>Focused</v>
      </c>
      <c r="T946" s="4">
        <f>Table4[[#This Row],[avg_viewers_per_stream]] / Table4[[#This Row],[total_followers]]</f>
        <v>0</v>
      </c>
    </row>
    <row r="947" spans="1:20">
      <c r="A947">
        <v>947</v>
      </c>
      <c r="B947" t="s">
        <v>1202</v>
      </c>
      <c r="C947" t="s">
        <v>6</v>
      </c>
      <c r="D947" t="s">
        <v>39</v>
      </c>
      <c r="E947" t="s">
        <v>46</v>
      </c>
      <c r="F947" t="s">
        <v>53</v>
      </c>
      <c r="G947" s="3">
        <v>6.8</v>
      </c>
      <c r="H947">
        <v>3940</v>
      </c>
      <c r="I947">
        <v>20708</v>
      </c>
      <c r="J947">
        <v>1.3</v>
      </c>
      <c r="K947">
        <v>115</v>
      </c>
      <c r="L947" s="2">
        <v>930000</v>
      </c>
      <c r="M947" s="2">
        <v>60600000</v>
      </c>
      <c r="N947">
        <v>74</v>
      </c>
      <c r="O947">
        <v>4.3</v>
      </c>
      <c r="P947" t="s">
        <v>17</v>
      </c>
      <c r="Q947" t="s">
        <v>19</v>
      </c>
      <c r="R947" s="2">
        <f>Table4[[#This Row],[total_followers]]/(Table4[[#This Row],[total_time_streamed]] / 60)</f>
        <v>485217.39130434778</v>
      </c>
      <c r="S947" t="str">
        <f>IF(Table4[[#This Row],[avg_games_per_stream]] &gt; 2, "Variety", "Focused")</f>
        <v>Focused</v>
      </c>
      <c r="T947" s="4">
        <f>Table4[[#This Row],[avg_viewers_per_stream]] / Table4[[#This Row],[total_followers]]</f>
        <v>2.2266666666666667E-2</v>
      </c>
    </row>
    <row r="948" spans="1:20">
      <c r="A948">
        <v>948</v>
      </c>
      <c r="B948" t="s">
        <v>1203</v>
      </c>
      <c r="C948" t="s">
        <v>783</v>
      </c>
      <c r="D948" t="s">
        <v>39</v>
      </c>
      <c r="E948" t="s">
        <v>46</v>
      </c>
      <c r="F948" t="s">
        <v>40</v>
      </c>
      <c r="G948" s="3">
        <v>4.9000000000000004</v>
      </c>
      <c r="H948">
        <v>1020</v>
      </c>
      <c r="I948">
        <v>9682</v>
      </c>
      <c r="J948">
        <v>1.4</v>
      </c>
      <c r="K948">
        <v>9369</v>
      </c>
      <c r="L948" s="2">
        <v>199000</v>
      </c>
      <c r="M948" s="2">
        <v>18900000</v>
      </c>
      <c r="N948">
        <v>79</v>
      </c>
      <c r="O948">
        <v>5.4</v>
      </c>
      <c r="P948" t="s">
        <v>17</v>
      </c>
      <c r="Q948" t="s">
        <v>15</v>
      </c>
      <c r="R948" s="2">
        <f>Table4[[#This Row],[total_followers]]/(Table4[[#This Row],[total_time_streamed]] / 60)</f>
        <v>1274.4156260006403</v>
      </c>
      <c r="S948" t="str">
        <f>IF(Table4[[#This Row],[avg_games_per_stream]] &gt; 2, "Variety", "Focused")</f>
        <v>Focused</v>
      </c>
      <c r="T948" s="4">
        <f>Table4[[#This Row],[avg_viewers_per_stream]] / Table4[[#This Row],[total_followers]]</f>
        <v>4.8653266331658292E-2</v>
      </c>
    </row>
    <row r="949" spans="1:20">
      <c r="A949">
        <v>949</v>
      </c>
      <c r="B949" t="s">
        <v>1204</v>
      </c>
      <c r="C949" t="s">
        <v>3</v>
      </c>
      <c r="D949" t="s">
        <v>39</v>
      </c>
      <c r="E949" t="s">
        <v>70</v>
      </c>
      <c r="F949" t="s">
        <v>109</v>
      </c>
      <c r="G949" s="3">
        <v>5.0999999999999996</v>
      </c>
      <c r="H949">
        <v>5220</v>
      </c>
      <c r="I949">
        <v>13098</v>
      </c>
      <c r="J949">
        <v>2</v>
      </c>
      <c r="K949">
        <v>8304</v>
      </c>
      <c r="L949" s="2">
        <v>755000</v>
      </c>
      <c r="M949" s="2">
        <v>18100000</v>
      </c>
      <c r="N949">
        <v>211</v>
      </c>
      <c r="O949">
        <v>4.0999999999999996</v>
      </c>
      <c r="P949" t="s">
        <v>17</v>
      </c>
      <c r="Q949" t="s">
        <v>18</v>
      </c>
      <c r="R949" s="2">
        <f>Table4[[#This Row],[total_followers]]/(Table4[[#This Row],[total_time_streamed]] / 60)</f>
        <v>5455.2023121387283</v>
      </c>
      <c r="S949" t="str">
        <f>IF(Table4[[#This Row],[avg_games_per_stream]] &gt; 2, "Variety", "Focused")</f>
        <v>Focused</v>
      </c>
      <c r="T949" s="4">
        <f>Table4[[#This Row],[avg_viewers_per_stream]] / Table4[[#This Row],[total_followers]]</f>
        <v>1.7348344370860927E-2</v>
      </c>
    </row>
    <row r="950" spans="1:20">
      <c r="A950">
        <v>950</v>
      </c>
      <c r="B950" t="s">
        <v>1205</v>
      </c>
      <c r="C950" t="s">
        <v>6</v>
      </c>
      <c r="D950" t="s">
        <v>39</v>
      </c>
      <c r="E950" t="s">
        <v>85</v>
      </c>
      <c r="F950" t="s">
        <v>98</v>
      </c>
      <c r="G950" s="3">
        <v>9.6</v>
      </c>
      <c r="H950">
        <v>160</v>
      </c>
      <c r="I950">
        <v>0</v>
      </c>
      <c r="J950">
        <v>1.5</v>
      </c>
      <c r="K950">
        <v>290</v>
      </c>
      <c r="L950" s="2">
        <v>1300</v>
      </c>
      <c r="M950" s="2">
        <v>0</v>
      </c>
      <c r="N950">
        <v>2</v>
      </c>
      <c r="O950">
        <v>0.7</v>
      </c>
      <c r="P950" t="s">
        <v>16</v>
      </c>
      <c r="Q950" t="s">
        <v>16</v>
      </c>
      <c r="R950" s="2">
        <f>Table4[[#This Row],[total_followers]]/(Table4[[#This Row],[total_time_streamed]] / 60)</f>
        <v>268.9655172413793</v>
      </c>
      <c r="S950" t="str">
        <f>IF(Table4[[#This Row],[avg_games_per_stream]] &gt; 2, "Variety", "Focused")</f>
        <v>Focused</v>
      </c>
      <c r="T950" s="4">
        <f>Table4[[#This Row],[avg_viewers_per_stream]] / Table4[[#This Row],[total_followers]]</f>
        <v>0</v>
      </c>
    </row>
    <row r="951" spans="1:20">
      <c r="A951">
        <v>951</v>
      </c>
      <c r="B951" t="s">
        <v>1206</v>
      </c>
      <c r="C951" t="s">
        <v>3</v>
      </c>
      <c r="D951" t="s">
        <v>39</v>
      </c>
      <c r="E951" t="s">
        <v>53</v>
      </c>
      <c r="F951" t="s">
        <v>12</v>
      </c>
      <c r="G951" s="3">
        <v>7.5</v>
      </c>
      <c r="H951">
        <v>1700</v>
      </c>
      <c r="I951">
        <v>15877</v>
      </c>
      <c r="J951">
        <v>1.1000000000000001</v>
      </c>
      <c r="K951">
        <v>15227</v>
      </c>
      <c r="L951" s="2">
        <v>325000</v>
      </c>
      <c r="M951" s="2">
        <v>30200000</v>
      </c>
      <c r="N951">
        <v>17</v>
      </c>
      <c r="O951">
        <v>5.2</v>
      </c>
      <c r="P951" t="s">
        <v>15</v>
      </c>
      <c r="Q951" t="s">
        <v>19</v>
      </c>
      <c r="R951" s="2">
        <f>Table4[[#This Row],[total_followers]]/(Table4[[#This Row],[total_time_streamed]] / 60)</f>
        <v>1280.6199514021146</v>
      </c>
      <c r="S951" t="str">
        <f>IF(Table4[[#This Row],[avg_games_per_stream]] &gt; 2, "Variety", "Focused")</f>
        <v>Focused</v>
      </c>
      <c r="T951" s="4">
        <f>Table4[[#This Row],[avg_viewers_per_stream]] / Table4[[#This Row],[total_followers]]</f>
        <v>4.8852307692307695E-2</v>
      </c>
    </row>
    <row r="952" spans="1:20">
      <c r="A952">
        <v>952</v>
      </c>
      <c r="B952" t="s">
        <v>1207</v>
      </c>
      <c r="C952" t="s">
        <v>3</v>
      </c>
      <c r="D952" t="s">
        <v>39</v>
      </c>
      <c r="E952" t="s">
        <v>43</v>
      </c>
      <c r="F952" t="s">
        <v>1208</v>
      </c>
      <c r="G952" s="3">
        <v>7.2</v>
      </c>
      <c r="H952">
        <v>1335</v>
      </c>
      <c r="I952">
        <v>0</v>
      </c>
      <c r="J952">
        <v>1.2</v>
      </c>
      <c r="K952">
        <v>4970</v>
      </c>
      <c r="L952" s="2">
        <v>102000</v>
      </c>
      <c r="M952" s="2">
        <v>0</v>
      </c>
      <c r="N952">
        <v>13</v>
      </c>
      <c r="O952">
        <v>7</v>
      </c>
      <c r="P952" t="s">
        <v>17</v>
      </c>
      <c r="Q952" t="s">
        <v>14</v>
      </c>
      <c r="R952" s="2">
        <f>Table4[[#This Row],[total_followers]]/(Table4[[#This Row],[total_time_streamed]] / 60)</f>
        <v>1231.3883299798792</v>
      </c>
      <c r="S952" t="str">
        <f>IF(Table4[[#This Row],[avg_games_per_stream]] &gt; 2, "Variety", "Focused")</f>
        <v>Focused</v>
      </c>
      <c r="T952" s="4">
        <f>Table4[[#This Row],[avg_viewers_per_stream]] / Table4[[#This Row],[total_followers]]</f>
        <v>0</v>
      </c>
    </row>
    <row r="953" spans="1:20">
      <c r="A953">
        <v>953</v>
      </c>
      <c r="B953" t="s">
        <v>1209</v>
      </c>
      <c r="C953" t="s">
        <v>63</v>
      </c>
      <c r="D953" t="s">
        <v>39</v>
      </c>
      <c r="E953" t="s">
        <v>54</v>
      </c>
      <c r="F953" t="s">
        <v>40</v>
      </c>
      <c r="G953" s="3">
        <v>7.4</v>
      </c>
      <c r="H953">
        <v>1300</v>
      </c>
      <c r="I953">
        <v>0</v>
      </c>
      <c r="J953">
        <v>1.1000000000000001</v>
      </c>
      <c r="K953">
        <v>4062</v>
      </c>
      <c r="L953" s="2">
        <v>74600</v>
      </c>
      <c r="M953" s="2">
        <v>305</v>
      </c>
      <c r="N953">
        <v>15</v>
      </c>
      <c r="O953">
        <v>2.9</v>
      </c>
      <c r="P953" t="s">
        <v>15</v>
      </c>
      <c r="Q953" t="s">
        <v>14</v>
      </c>
      <c r="R953" s="2">
        <f>Table4[[#This Row],[total_followers]]/(Table4[[#This Row],[total_time_streamed]] / 60)</f>
        <v>1101.9202363367799</v>
      </c>
      <c r="S953" t="str">
        <f>IF(Table4[[#This Row],[avg_games_per_stream]] &gt; 2, "Variety", "Focused")</f>
        <v>Focused</v>
      </c>
      <c r="T953" s="4">
        <f>Table4[[#This Row],[avg_viewers_per_stream]] / Table4[[#This Row],[total_followers]]</f>
        <v>0</v>
      </c>
    </row>
    <row r="954" spans="1:20">
      <c r="A954">
        <v>954</v>
      </c>
      <c r="B954" t="s">
        <v>1210</v>
      </c>
      <c r="C954" t="s">
        <v>7</v>
      </c>
      <c r="D954" t="s">
        <v>39</v>
      </c>
      <c r="E954" t="s">
        <v>371</v>
      </c>
      <c r="F954" t="s">
        <v>109</v>
      </c>
      <c r="G954" s="3">
        <v>5.0999999999999996</v>
      </c>
      <c r="H954">
        <v>5570</v>
      </c>
      <c r="I954">
        <v>15422</v>
      </c>
      <c r="J954">
        <v>1.3</v>
      </c>
      <c r="K954">
        <v>10873</v>
      </c>
      <c r="L954" s="2">
        <v>1210000</v>
      </c>
      <c r="M954" s="2">
        <v>33200000</v>
      </c>
      <c r="N954">
        <v>387</v>
      </c>
      <c r="O954">
        <v>5.5</v>
      </c>
      <c r="P954" t="s">
        <v>18</v>
      </c>
      <c r="Q954" t="s">
        <v>14</v>
      </c>
      <c r="R954" s="2">
        <f>Table4[[#This Row],[total_followers]]/(Table4[[#This Row],[total_time_streamed]] / 60)</f>
        <v>6677.0900395475028</v>
      </c>
      <c r="S954" t="str">
        <f>IF(Table4[[#This Row],[avg_games_per_stream]] &gt; 2, "Variety", "Focused")</f>
        <v>Focused</v>
      </c>
      <c r="T954" s="4">
        <f>Table4[[#This Row],[avg_viewers_per_stream]] / Table4[[#This Row],[total_followers]]</f>
        <v>1.2745454545454546E-2</v>
      </c>
    </row>
    <row r="955" spans="1:20">
      <c r="A955">
        <v>955</v>
      </c>
      <c r="B955" t="s">
        <v>1211</v>
      </c>
      <c r="C955" t="s">
        <v>3</v>
      </c>
      <c r="D955" t="s">
        <v>39</v>
      </c>
      <c r="E955" t="s">
        <v>290</v>
      </c>
      <c r="F955" t="s">
        <v>291</v>
      </c>
      <c r="G955" s="3">
        <v>6.3</v>
      </c>
      <c r="H955">
        <v>2570</v>
      </c>
      <c r="I955">
        <v>5538</v>
      </c>
      <c r="J955">
        <v>1.4</v>
      </c>
      <c r="K955">
        <v>11742</v>
      </c>
      <c r="L955" s="2">
        <v>437000</v>
      </c>
      <c r="M955" s="2">
        <v>9410000</v>
      </c>
      <c r="N955">
        <v>99</v>
      </c>
      <c r="O955">
        <v>5.2</v>
      </c>
      <c r="P955" t="s">
        <v>17</v>
      </c>
      <c r="Q955" t="s">
        <v>17</v>
      </c>
      <c r="R955" s="2">
        <f>Table4[[#This Row],[total_followers]]/(Table4[[#This Row],[total_time_streamed]] / 60)</f>
        <v>2233.009708737864</v>
      </c>
      <c r="S955" t="str">
        <f>IF(Table4[[#This Row],[avg_games_per_stream]] &gt; 2, "Variety", "Focused")</f>
        <v>Focused</v>
      </c>
      <c r="T955" s="4">
        <f>Table4[[#This Row],[avg_viewers_per_stream]] / Table4[[#This Row],[total_followers]]</f>
        <v>1.2672768878718535E-2</v>
      </c>
    </row>
    <row r="956" spans="1:20">
      <c r="A956">
        <v>956</v>
      </c>
      <c r="B956" t="s">
        <v>1212</v>
      </c>
      <c r="C956" t="s">
        <v>6</v>
      </c>
      <c r="D956" t="s">
        <v>39</v>
      </c>
      <c r="E956" t="s">
        <v>46</v>
      </c>
      <c r="F956" t="s">
        <v>40</v>
      </c>
      <c r="G956" s="3">
        <v>4.5</v>
      </c>
      <c r="H956">
        <v>6490</v>
      </c>
      <c r="I956">
        <v>13045</v>
      </c>
      <c r="J956">
        <v>1.2</v>
      </c>
      <c r="K956">
        <v>3688</v>
      </c>
      <c r="L956" s="2">
        <v>578000</v>
      </c>
      <c r="M956" s="2">
        <v>12400000</v>
      </c>
      <c r="N956">
        <v>35</v>
      </c>
      <c r="O956">
        <v>2.1</v>
      </c>
      <c r="P956" t="s">
        <v>20</v>
      </c>
      <c r="Q956" t="s">
        <v>17</v>
      </c>
      <c r="R956" s="2">
        <f>Table4[[#This Row],[total_followers]]/(Table4[[#This Row],[total_time_streamed]] / 60)</f>
        <v>9403.4707158351412</v>
      </c>
      <c r="S956" t="str">
        <f>IF(Table4[[#This Row],[avg_games_per_stream]] &gt; 2, "Variety", "Focused")</f>
        <v>Focused</v>
      </c>
      <c r="T956" s="4">
        <f>Table4[[#This Row],[avg_viewers_per_stream]] / Table4[[#This Row],[total_followers]]</f>
        <v>2.2569204152249136E-2</v>
      </c>
    </row>
    <row r="957" spans="1:20">
      <c r="A957">
        <v>957</v>
      </c>
      <c r="B957" t="s">
        <v>1213</v>
      </c>
      <c r="C957" t="s">
        <v>5</v>
      </c>
      <c r="D957" t="s">
        <v>39</v>
      </c>
      <c r="E957" t="s">
        <v>66</v>
      </c>
      <c r="F957" t="s">
        <v>54</v>
      </c>
      <c r="G957" s="3">
        <v>5.9</v>
      </c>
      <c r="H957">
        <v>630</v>
      </c>
      <c r="I957">
        <v>40</v>
      </c>
      <c r="J957">
        <v>1.1000000000000001</v>
      </c>
      <c r="K957">
        <v>2782</v>
      </c>
      <c r="L957" s="2">
        <v>34000</v>
      </c>
      <c r="M957" s="2">
        <v>2400</v>
      </c>
      <c r="N957">
        <v>53</v>
      </c>
      <c r="O957">
        <v>2.9</v>
      </c>
      <c r="P957" t="s">
        <v>14</v>
      </c>
      <c r="Q957" t="s">
        <v>14</v>
      </c>
      <c r="R957" s="2">
        <f>Table4[[#This Row],[total_followers]]/(Table4[[#This Row],[total_time_streamed]] / 60)</f>
        <v>733.2854061826024</v>
      </c>
      <c r="S957" t="str">
        <f>IF(Table4[[#This Row],[avg_games_per_stream]] &gt; 2, "Variety", "Focused")</f>
        <v>Focused</v>
      </c>
      <c r="T957" s="4">
        <f>Table4[[#This Row],[avg_viewers_per_stream]] / Table4[[#This Row],[total_followers]]</f>
        <v>1.176470588235294E-3</v>
      </c>
    </row>
    <row r="958" spans="1:20">
      <c r="A958">
        <v>958</v>
      </c>
      <c r="B958" t="s">
        <v>1214</v>
      </c>
      <c r="C958" t="s">
        <v>3</v>
      </c>
      <c r="D958" t="s">
        <v>39</v>
      </c>
      <c r="E958" t="s">
        <v>74</v>
      </c>
      <c r="F958" t="s">
        <v>56</v>
      </c>
      <c r="G958" s="3">
        <v>7.3</v>
      </c>
      <c r="H958">
        <v>6440</v>
      </c>
      <c r="I958">
        <v>27302</v>
      </c>
      <c r="J958">
        <v>1.2</v>
      </c>
      <c r="K958">
        <v>16466</v>
      </c>
      <c r="L958" s="2">
        <v>1630000</v>
      </c>
      <c r="M958" s="2">
        <v>69000000</v>
      </c>
      <c r="N958">
        <v>94</v>
      </c>
      <c r="O958">
        <v>6.3</v>
      </c>
      <c r="P958" t="s">
        <v>18</v>
      </c>
      <c r="Q958" t="s">
        <v>14</v>
      </c>
      <c r="R958" s="2">
        <f>Table4[[#This Row],[total_followers]]/(Table4[[#This Row],[total_time_streamed]] / 60)</f>
        <v>5939.5117211223123</v>
      </c>
      <c r="S958" t="str">
        <f>IF(Table4[[#This Row],[avg_games_per_stream]] &gt; 2, "Variety", "Focused")</f>
        <v>Focused</v>
      </c>
      <c r="T958" s="4">
        <f>Table4[[#This Row],[avg_viewers_per_stream]] / Table4[[#This Row],[total_followers]]</f>
        <v>1.6749693251533741E-2</v>
      </c>
    </row>
    <row r="959" spans="1:20">
      <c r="A959">
        <v>959</v>
      </c>
      <c r="B959" t="s">
        <v>1215</v>
      </c>
      <c r="C959" t="s">
        <v>61</v>
      </c>
      <c r="D959" t="s">
        <v>39</v>
      </c>
      <c r="E959" t="s">
        <v>150</v>
      </c>
      <c r="F959" t="s">
        <v>40</v>
      </c>
      <c r="G959" s="3">
        <v>7.4</v>
      </c>
      <c r="H959">
        <v>770</v>
      </c>
      <c r="I959">
        <v>6400</v>
      </c>
      <c r="J959">
        <v>1.2</v>
      </c>
      <c r="K959">
        <v>2601</v>
      </c>
      <c r="L959" s="2">
        <v>25500</v>
      </c>
      <c r="M959" s="2">
        <v>211000</v>
      </c>
      <c r="N959">
        <v>15</v>
      </c>
      <c r="O959">
        <v>2.1</v>
      </c>
      <c r="P959" t="s">
        <v>15</v>
      </c>
      <c r="Q959" t="s">
        <v>16</v>
      </c>
      <c r="R959" s="2">
        <f>Table4[[#This Row],[total_followers]]/(Table4[[#This Row],[total_time_streamed]] / 60)</f>
        <v>588.23529411764707</v>
      </c>
      <c r="S959" t="str">
        <f>IF(Table4[[#This Row],[avg_games_per_stream]] &gt; 2, "Variety", "Focused")</f>
        <v>Focused</v>
      </c>
      <c r="T959" s="4">
        <f>Table4[[#This Row],[avg_viewers_per_stream]] / Table4[[#This Row],[total_followers]]</f>
        <v>0.25098039215686274</v>
      </c>
    </row>
    <row r="960" spans="1:20">
      <c r="A960">
        <v>960</v>
      </c>
      <c r="B960" t="s">
        <v>1216</v>
      </c>
      <c r="C960" t="s">
        <v>7</v>
      </c>
      <c r="D960" t="s">
        <v>39</v>
      </c>
      <c r="E960" t="s">
        <v>66</v>
      </c>
      <c r="F960" t="s">
        <v>51</v>
      </c>
      <c r="G960" s="3">
        <v>5.9</v>
      </c>
      <c r="H960">
        <v>5230</v>
      </c>
      <c r="I960">
        <v>24938</v>
      </c>
      <c r="J960">
        <v>1.6</v>
      </c>
      <c r="K960">
        <v>8974</v>
      </c>
      <c r="L960" s="2">
        <v>897000</v>
      </c>
      <c r="M960" s="2">
        <v>40600000</v>
      </c>
      <c r="N960">
        <v>134</v>
      </c>
      <c r="O960">
        <v>3.9</v>
      </c>
      <c r="P960" t="s">
        <v>19</v>
      </c>
      <c r="Q960" t="s">
        <v>17</v>
      </c>
      <c r="R960" s="2">
        <f>Table4[[#This Row],[total_followers]]/(Table4[[#This Row],[total_time_streamed]] / 60)</f>
        <v>5997.3256073100065</v>
      </c>
      <c r="S960" t="str">
        <f>IF(Table4[[#This Row],[avg_games_per_stream]] &gt; 2, "Variety", "Focused")</f>
        <v>Focused</v>
      </c>
      <c r="T960" s="4">
        <f>Table4[[#This Row],[avg_viewers_per_stream]] / Table4[[#This Row],[total_followers]]</f>
        <v>2.7801560758082496E-2</v>
      </c>
    </row>
    <row r="961" spans="1:20">
      <c r="A961">
        <v>961</v>
      </c>
      <c r="B961" t="s">
        <v>1217</v>
      </c>
      <c r="C961" t="s">
        <v>61</v>
      </c>
      <c r="D961" t="s">
        <v>39</v>
      </c>
      <c r="E961" t="s">
        <v>1218</v>
      </c>
      <c r="F961" t="s">
        <v>808</v>
      </c>
      <c r="G961" s="3">
        <v>5.4</v>
      </c>
      <c r="H961">
        <v>180</v>
      </c>
      <c r="I961">
        <v>1671</v>
      </c>
      <c r="J961">
        <v>1.5</v>
      </c>
      <c r="K961">
        <v>9763</v>
      </c>
      <c r="L961" s="2">
        <v>33300</v>
      </c>
      <c r="M961" s="2">
        <v>3020000</v>
      </c>
      <c r="N961">
        <v>221</v>
      </c>
      <c r="O961">
        <v>4.5999999999999996</v>
      </c>
      <c r="P961" t="s">
        <v>14</v>
      </c>
      <c r="Q961" t="s">
        <v>14</v>
      </c>
      <c r="R961" s="2">
        <f>Table4[[#This Row],[total_followers]]/(Table4[[#This Row],[total_time_streamed]] / 60)</f>
        <v>204.65020997644166</v>
      </c>
      <c r="S961" t="str">
        <f>IF(Table4[[#This Row],[avg_games_per_stream]] &gt; 2, "Variety", "Focused")</f>
        <v>Focused</v>
      </c>
      <c r="T961" s="4">
        <f>Table4[[#This Row],[avg_viewers_per_stream]] / Table4[[#This Row],[total_followers]]</f>
        <v>5.0180180180180181E-2</v>
      </c>
    </row>
    <row r="962" spans="1:20">
      <c r="A962">
        <v>962</v>
      </c>
      <c r="B962" t="s">
        <v>1219</v>
      </c>
      <c r="C962" t="s">
        <v>5</v>
      </c>
      <c r="D962" t="s">
        <v>39</v>
      </c>
      <c r="E962" t="s">
        <v>96</v>
      </c>
      <c r="F962" t="s">
        <v>54</v>
      </c>
      <c r="G962" s="3">
        <v>6.2</v>
      </c>
      <c r="H962">
        <v>1810</v>
      </c>
      <c r="I962">
        <v>7930</v>
      </c>
      <c r="J962">
        <v>1.4</v>
      </c>
      <c r="K962">
        <v>3664</v>
      </c>
      <c r="L962" s="2">
        <v>123000</v>
      </c>
      <c r="M962" s="2">
        <v>539000</v>
      </c>
      <c r="N962">
        <v>62</v>
      </c>
      <c r="O962">
        <v>2.7</v>
      </c>
      <c r="P962" t="s">
        <v>18</v>
      </c>
      <c r="Q962" t="s">
        <v>14</v>
      </c>
      <c r="R962" s="2">
        <f>Table4[[#This Row],[total_followers]]/(Table4[[#This Row],[total_time_streamed]] / 60)</f>
        <v>2014.1921397379911</v>
      </c>
      <c r="S962" t="str">
        <f>IF(Table4[[#This Row],[avg_games_per_stream]] &gt; 2, "Variety", "Focused")</f>
        <v>Focused</v>
      </c>
      <c r="T962" s="4">
        <f>Table4[[#This Row],[avg_viewers_per_stream]] / Table4[[#This Row],[total_followers]]</f>
        <v>6.4471544715447152E-2</v>
      </c>
    </row>
    <row r="963" spans="1:20">
      <c r="A963">
        <v>963</v>
      </c>
      <c r="B963" t="s">
        <v>1220</v>
      </c>
      <c r="C963" t="s">
        <v>3</v>
      </c>
      <c r="D963" t="s">
        <v>39</v>
      </c>
      <c r="E963" t="s">
        <v>1221</v>
      </c>
      <c r="F963" t="s">
        <v>703</v>
      </c>
      <c r="G963" s="3">
        <v>6.1</v>
      </c>
      <c r="H963">
        <v>2060</v>
      </c>
      <c r="I963">
        <v>3400</v>
      </c>
      <c r="J963">
        <v>1</v>
      </c>
      <c r="K963">
        <v>2911</v>
      </c>
      <c r="L963" s="2">
        <v>71000</v>
      </c>
      <c r="M963" s="2">
        <v>117000</v>
      </c>
      <c r="N963">
        <v>11</v>
      </c>
      <c r="O963">
        <v>1.6</v>
      </c>
      <c r="P963" t="s">
        <v>14</v>
      </c>
      <c r="Q963" t="s">
        <v>15</v>
      </c>
      <c r="R963" s="2">
        <f>Table4[[#This Row],[total_followers]]/(Table4[[#This Row],[total_time_streamed]] / 60)</f>
        <v>1463.4146341463415</v>
      </c>
      <c r="S963" t="str">
        <f>IF(Table4[[#This Row],[avg_games_per_stream]] &gt; 2, "Variety", "Focused")</f>
        <v>Focused</v>
      </c>
      <c r="T963" s="4">
        <f>Table4[[#This Row],[avg_viewers_per_stream]] / Table4[[#This Row],[total_followers]]</f>
        <v>4.788732394366197E-2</v>
      </c>
    </row>
    <row r="964" spans="1:20">
      <c r="A964">
        <v>964</v>
      </c>
      <c r="B964" t="s">
        <v>1222</v>
      </c>
      <c r="C964" t="s">
        <v>91</v>
      </c>
      <c r="D964" t="s">
        <v>39</v>
      </c>
      <c r="E964" t="s">
        <v>51</v>
      </c>
      <c r="F964" t="s">
        <v>107</v>
      </c>
      <c r="G964" s="3">
        <v>4.8</v>
      </c>
      <c r="H964">
        <v>7140</v>
      </c>
      <c r="I964">
        <v>0</v>
      </c>
      <c r="J964">
        <v>1.5</v>
      </c>
      <c r="K964">
        <v>2436</v>
      </c>
      <c r="L964" s="2">
        <v>566000</v>
      </c>
      <c r="M964" s="2">
        <v>30</v>
      </c>
      <c r="N964">
        <v>46</v>
      </c>
      <c r="O964">
        <v>2.8</v>
      </c>
      <c r="P964" t="s">
        <v>19</v>
      </c>
      <c r="Q964" t="s">
        <v>16</v>
      </c>
      <c r="R964" s="2">
        <f>Table4[[#This Row],[total_followers]]/(Table4[[#This Row],[total_time_streamed]] / 60)</f>
        <v>13940.886699507389</v>
      </c>
      <c r="S964" t="str">
        <f>IF(Table4[[#This Row],[avg_games_per_stream]] &gt; 2, "Variety", "Focused")</f>
        <v>Focused</v>
      </c>
      <c r="T964" s="4">
        <f>Table4[[#This Row],[avg_viewers_per_stream]] / Table4[[#This Row],[total_followers]]</f>
        <v>0</v>
      </c>
    </row>
    <row r="965" spans="1:20">
      <c r="A965">
        <v>965</v>
      </c>
      <c r="B965" t="s">
        <v>1223</v>
      </c>
      <c r="C965" t="s">
        <v>3</v>
      </c>
      <c r="D965" t="s">
        <v>39</v>
      </c>
      <c r="E965" t="s">
        <v>74</v>
      </c>
      <c r="F965" t="s">
        <v>1224</v>
      </c>
      <c r="G965" s="3">
        <v>7.1</v>
      </c>
      <c r="H965">
        <v>2290</v>
      </c>
      <c r="I965">
        <v>279</v>
      </c>
      <c r="J965">
        <v>1.1000000000000001</v>
      </c>
      <c r="K965">
        <v>16818</v>
      </c>
      <c r="L965" s="2">
        <v>575000</v>
      </c>
      <c r="M965" s="2">
        <v>6990000</v>
      </c>
      <c r="N965">
        <v>55</v>
      </c>
      <c r="O965">
        <v>6.1</v>
      </c>
      <c r="P965" t="s">
        <v>20</v>
      </c>
      <c r="Q965" t="s">
        <v>15</v>
      </c>
      <c r="R965" s="2">
        <f>Table4[[#This Row],[total_followers]]/(Table4[[#This Row],[total_time_streamed]] / 60)</f>
        <v>2051.3735283624687</v>
      </c>
      <c r="S965" t="str">
        <f>IF(Table4[[#This Row],[avg_games_per_stream]] &gt; 2, "Variety", "Focused")</f>
        <v>Focused</v>
      </c>
      <c r="T965" s="4">
        <f>Table4[[#This Row],[avg_viewers_per_stream]] / Table4[[#This Row],[total_followers]]</f>
        <v>4.8521739130434784E-4</v>
      </c>
    </row>
    <row r="966" spans="1:20">
      <c r="A966">
        <v>966</v>
      </c>
      <c r="B966" t="s">
        <v>1225</v>
      </c>
      <c r="C966" t="s">
        <v>4</v>
      </c>
      <c r="D966" t="s">
        <v>39</v>
      </c>
      <c r="E966" t="s">
        <v>66</v>
      </c>
      <c r="F966" t="s">
        <v>926</v>
      </c>
      <c r="G966" s="3">
        <v>5.2</v>
      </c>
      <c r="H966">
        <v>880</v>
      </c>
      <c r="I966">
        <v>9077</v>
      </c>
      <c r="J966">
        <v>1.1000000000000001</v>
      </c>
      <c r="K966">
        <v>7035</v>
      </c>
      <c r="L966" s="2">
        <v>177000</v>
      </c>
      <c r="M966" s="2">
        <v>15900000</v>
      </c>
      <c r="N966">
        <v>169</v>
      </c>
      <c r="O966">
        <v>3.4</v>
      </c>
      <c r="P966" t="s">
        <v>19</v>
      </c>
      <c r="Q966" t="s">
        <v>15</v>
      </c>
      <c r="R966" s="2">
        <f>Table4[[#This Row],[total_followers]]/(Table4[[#This Row],[total_time_streamed]] / 60)</f>
        <v>1509.5948827292111</v>
      </c>
      <c r="S966" t="str">
        <f>IF(Table4[[#This Row],[avg_games_per_stream]] &gt; 2, "Variety", "Focused")</f>
        <v>Focused</v>
      </c>
      <c r="T966" s="4">
        <f>Table4[[#This Row],[avg_viewers_per_stream]] / Table4[[#This Row],[total_followers]]</f>
        <v>5.1282485875706212E-2</v>
      </c>
    </row>
    <row r="967" spans="1:20">
      <c r="A967">
        <v>967</v>
      </c>
      <c r="B967" t="s">
        <v>1226</v>
      </c>
      <c r="C967" t="s">
        <v>7</v>
      </c>
      <c r="D967" t="s">
        <v>39</v>
      </c>
      <c r="E967" t="s">
        <v>40</v>
      </c>
      <c r="F967" t="s">
        <v>46</v>
      </c>
      <c r="G967" s="3">
        <v>3.8</v>
      </c>
      <c r="H967">
        <v>1520</v>
      </c>
      <c r="I967">
        <v>2532</v>
      </c>
      <c r="J967">
        <v>1.1000000000000001</v>
      </c>
      <c r="K967">
        <v>3995</v>
      </c>
      <c r="L967" s="2">
        <v>176000</v>
      </c>
      <c r="M967" s="2">
        <v>2930000</v>
      </c>
      <c r="N967">
        <v>55</v>
      </c>
      <c r="O967">
        <v>3.5</v>
      </c>
      <c r="P967" t="s">
        <v>20</v>
      </c>
      <c r="Q967" t="s">
        <v>15</v>
      </c>
      <c r="R967" s="2">
        <f>Table4[[#This Row],[total_followers]]/(Table4[[#This Row],[total_time_streamed]] / 60)</f>
        <v>2643.3041301627036</v>
      </c>
      <c r="S967" t="str">
        <f>IF(Table4[[#This Row],[avg_games_per_stream]] &gt; 2, "Variety", "Focused")</f>
        <v>Focused</v>
      </c>
      <c r="T967" s="4">
        <f>Table4[[#This Row],[avg_viewers_per_stream]] / Table4[[#This Row],[total_followers]]</f>
        <v>1.4386363636363636E-2</v>
      </c>
    </row>
    <row r="968" spans="1:20">
      <c r="A968">
        <v>968</v>
      </c>
      <c r="B968" t="s">
        <v>1227</v>
      </c>
      <c r="C968" t="s">
        <v>2</v>
      </c>
      <c r="D968" t="s">
        <v>39</v>
      </c>
      <c r="E968" t="s">
        <v>40</v>
      </c>
      <c r="F968" t="s">
        <v>70</v>
      </c>
      <c r="G968" s="3">
        <v>9.1999999999999993</v>
      </c>
      <c r="H968">
        <v>480</v>
      </c>
      <c r="I968">
        <v>19638</v>
      </c>
      <c r="J968">
        <v>1.6</v>
      </c>
      <c r="K968">
        <v>22013</v>
      </c>
      <c r="L968" s="2">
        <v>122000</v>
      </c>
      <c r="M968" s="2">
        <v>49200000</v>
      </c>
      <c r="N968">
        <v>327</v>
      </c>
      <c r="O968">
        <v>6.1</v>
      </c>
      <c r="P968" t="s">
        <v>17</v>
      </c>
      <c r="Q968" t="s">
        <v>14</v>
      </c>
      <c r="R968" s="2">
        <f>Table4[[#This Row],[total_followers]]/(Table4[[#This Row],[total_time_streamed]] / 60)</f>
        <v>332.53077726797801</v>
      </c>
      <c r="S968" t="str">
        <f>IF(Table4[[#This Row],[avg_games_per_stream]] &gt; 2, "Variety", "Focused")</f>
        <v>Focused</v>
      </c>
      <c r="T968" s="4">
        <f>Table4[[#This Row],[avg_viewers_per_stream]] / Table4[[#This Row],[total_followers]]</f>
        <v>0.16096721311475409</v>
      </c>
    </row>
    <row r="969" spans="1:20">
      <c r="A969">
        <v>969</v>
      </c>
      <c r="B969" t="s">
        <v>1228</v>
      </c>
      <c r="C969" t="s">
        <v>3</v>
      </c>
      <c r="D969" t="s">
        <v>39</v>
      </c>
      <c r="E969" t="s">
        <v>40</v>
      </c>
      <c r="F969" t="s">
        <v>123</v>
      </c>
      <c r="G969" s="3">
        <v>7.1</v>
      </c>
      <c r="H969">
        <v>5600</v>
      </c>
      <c r="I969">
        <v>14827</v>
      </c>
      <c r="J969">
        <v>1.6</v>
      </c>
      <c r="K969">
        <v>8943</v>
      </c>
      <c r="L969" s="2">
        <v>654000</v>
      </c>
      <c r="M969" s="2">
        <v>17200000</v>
      </c>
      <c r="N969">
        <v>208</v>
      </c>
      <c r="O969">
        <v>3.2</v>
      </c>
      <c r="P969" t="s">
        <v>19</v>
      </c>
      <c r="Q969" t="s">
        <v>18</v>
      </c>
      <c r="R969" s="2">
        <f>Table4[[#This Row],[total_followers]]/(Table4[[#This Row],[total_time_streamed]] / 60)</f>
        <v>4387.7893324387787</v>
      </c>
      <c r="S969" t="str">
        <f>IF(Table4[[#This Row],[avg_games_per_stream]] &gt; 2, "Variety", "Focused")</f>
        <v>Focused</v>
      </c>
      <c r="T969" s="4">
        <f>Table4[[#This Row],[avg_viewers_per_stream]] / Table4[[#This Row],[total_followers]]</f>
        <v>2.267125382262997E-2</v>
      </c>
    </row>
    <row r="970" spans="1:20">
      <c r="A970">
        <v>970</v>
      </c>
      <c r="B970" t="s">
        <v>1229</v>
      </c>
      <c r="C970" t="s">
        <v>3</v>
      </c>
      <c r="D970" t="s">
        <v>39</v>
      </c>
      <c r="E970" t="s">
        <v>98</v>
      </c>
      <c r="F970" t="s">
        <v>40</v>
      </c>
      <c r="G970" s="3">
        <v>9</v>
      </c>
      <c r="H970">
        <v>260</v>
      </c>
      <c r="I970">
        <v>2470</v>
      </c>
      <c r="J970">
        <v>1</v>
      </c>
      <c r="K970">
        <v>12176</v>
      </c>
      <c r="L970" s="2">
        <v>59800</v>
      </c>
      <c r="M970" s="2">
        <v>558000</v>
      </c>
      <c r="N970">
        <v>8</v>
      </c>
      <c r="O970">
        <v>6.3</v>
      </c>
      <c r="P970" t="s">
        <v>18</v>
      </c>
      <c r="Q970" t="s">
        <v>16</v>
      </c>
      <c r="R970" s="2">
        <f>Table4[[#This Row],[total_followers]]/(Table4[[#This Row],[total_time_streamed]] / 60)</f>
        <v>294.67805519053877</v>
      </c>
      <c r="S970" t="str">
        <f>IF(Table4[[#This Row],[avg_games_per_stream]] &gt; 2, "Variety", "Focused")</f>
        <v>Focused</v>
      </c>
      <c r="T970" s="4">
        <f>Table4[[#This Row],[avg_viewers_per_stream]] / Table4[[#This Row],[total_followers]]</f>
        <v>4.1304347826086954E-2</v>
      </c>
    </row>
    <row r="971" spans="1:20">
      <c r="A971">
        <v>971</v>
      </c>
      <c r="B971" t="s">
        <v>1230</v>
      </c>
      <c r="C971" t="s">
        <v>3</v>
      </c>
      <c r="D971" t="s">
        <v>39</v>
      </c>
      <c r="E971" t="s">
        <v>40</v>
      </c>
      <c r="F971" t="s">
        <v>569</v>
      </c>
      <c r="G971" s="3">
        <v>3.1</v>
      </c>
      <c r="H971">
        <v>3260</v>
      </c>
      <c r="I971">
        <v>3406</v>
      </c>
      <c r="J971">
        <v>1.8</v>
      </c>
      <c r="K971">
        <v>3225</v>
      </c>
      <c r="L971" s="2">
        <v>313000</v>
      </c>
      <c r="M971" s="2">
        <v>3270000</v>
      </c>
      <c r="N971">
        <v>290</v>
      </c>
      <c r="O971">
        <v>3.3</v>
      </c>
      <c r="P971" t="s">
        <v>16</v>
      </c>
      <c r="Q971" t="s">
        <v>15</v>
      </c>
      <c r="R971" s="2">
        <f>Table4[[#This Row],[total_followers]]/(Table4[[#This Row],[total_time_streamed]] / 60)</f>
        <v>5823.2558139534885</v>
      </c>
      <c r="S971" t="str">
        <f>IF(Table4[[#This Row],[avg_games_per_stream]] &gt; 2, "Variety", "Focused")</f>
        <v>Focused</v>
      </c>
      <c r="T971" s="4">
        <f>Table4[[#This Row],[avg_viewers_per_stream]] / Table4[[#This Row],[total_followers]]</f>
        <v>1.0881789137380192E-2</v>
      </c>
    </row>
    <row r="972" spans="1:20">
      <c r="A972">
        <v>972</v>
      </c>
      <c r="B972" t="s">
        <v>1231</v>
      </c>
      <c r="C972" t="s">
        <v>5</v>
      </c>
      <c r="D972" t="s">
        <v>39</v>
      </c>
      <c r="E972" t="s">
        <v>40</v>
      </c>
      <c r="F972" t="s">
        <v>150</v>
      </c>
      <c r="G972" s="3">
        <v>4</v>
      </c>
      <c r="H972">
        <v>1886</v>
      </c>
      <c r="I972">
        <v>0</v>
      </c>
      <c r="J972">
        <v>1.3</v>
      </c>
      <c r="K972">
        <v>1900</v>
      </c>
      <c r="L972" s="2">
        <v>92500</v>
      </c>
      <c r="M972" s="2">
        <v>0</v>
      </c>
      <c r="N972">
        <v>15</v>
      </c>
      <c r="O972">
        <v>5.4</v>
      </c>
      <c r="P972" t="s">
        <v>14</v>
      </c>
      <c r="Q972" t="s">
        <v>17</v>
      </c>
      <c r="R972" s="2">
        <f>Table4[[#This Row],[total_followers]]/(Table4[[#This Row],[total_time_streamed]] / 60)</f>
        <v>2921.0526315789471</v>
      </c>
      <c r="S972" t="str">
        <f>IF(Table4[[#This Row],[avg_games_per_stream]] &gt; 2, "Variety", "Focused")</f>
        <v>Focused</v>
      </c>
      <c r="T972" s="4">
        <f>Table4[[#This Row],[avg_viewers_per_stream]] / Table4[[#This Row],[total_followers]]</f>
        <v>0</v>
      </c>
    </row>
    <row r="973" spans="1:20">
      <c r="A973">
        <v>973</v>
      </c>
      <c r="B973" t="s">
        <v>1232</v>
      </c>
      <c r="C973" t="s">
        <v>4</v>
      </c>
      <c r="D973" t="s">
        <v>39</v>
      </c>
      <c r="E973" t="s">
        <v>46</v>
      </c>
      <c r="F973" t="s">
        <v>974</v>
      </c>
      <c r="G973" s="3">
        <v>3.5</v>
      </c>
      <c r="H973">
        <v>1310</v>
      </c>
      <c r="I973">
        <v>2227</v>
      </c>
      <c r="J973">
        <v>1</v>
      </c>
      <c r="K973">
        <v>5863</v>
      </c>
      <c r="L973" s="2">
        <v>191000</v>
      </c>
      <c r="M973" s="2">
        <v>3240000</v>
      </c>
      <c r="N973">
        <v>24</v>
      </c>
      <c r="O973">
        <v>4.3</v>
      </c>
      <c r="P973" t="s">
        <v>16</v>
      </c>
      <c r="Q973" t="s">
        <v>15</v>
      </c>
      <c r="R973" s="2">
        <f>Table4[[#This Row],[total_followers]]/(Table4[[#This Row],[total_time_streamed]] / 60)</f>
        <v>1954.6307351185399</v>
      </c>
      <c r="S973" t="str">
        <f>IF(Table4[[#This Row],[avg_games_per_stream]] &gt; 2, "Variety", "Focused")</f>
        <v>Focused</v>
      </c>
      <c r="T973" s="4">
        <f>Table4[[#This Row],[avg_viewers_per_stream]] / Table4[[#This Row],[total_followers]]</f>
        <v>1.1659685863874345E-2</v>
      </c>
    </row>
    <row r="974" spans="1:20">
      <c r="A974">
        <v>974</v>
      </c>
      <c r="B974" t="s">
        <v>1233</v>
      </c>
      <c r="C974" t="s">
        <v>2</v>
      </c>
      <c r="D974" t="s">
        <v>39</v>
      </c>
      <c r="E974" t="s">
        <v>123</v>
      </c>
      <c r="F974" t="s">
        <v>46</v>
      </c>
      <c r="G974" s="3">
        <v>6.9</v>
      </c>
      <c r="H974">
        <v>2730</v>
      </c>
      <c r="I974">
        <v>14986</v>
      </c>
      <c r="J974">
        <v>1.4</v>
      </c>
      <c r="K974">
        <v>7345</v>
      </c>
      <c r="L974" s="2">
        <v>290000</v>
      </c>
      <c r="M974" s="2">
        <v>15700000</v>
      </c>
      <c r="N974">
        <v>50</v>
      </c>
      <c r="O974">
        <v>3</v>
      </c>
      <c r="P974" t="s">
        <v>19</v>
      </c>
      <c r="Q974" t="s">
        <v>16</v>
      </c>
      <c r="R974" s="2">
        <f>Table4[[#This Row],[total_followers]]/(Table4[[#This Row],[total_time_streamed]] / 60)</f>
        <v>2368.9584751531652</v>
      </c>
      <c r="S974" t="str">
        <f>IF(Table4[[#This Row],[avg_games_per_stream]] &gt; 2, "Variety", "Focused")</f>
        <v>Focused</v>
      </c>
      <c r="T974" s="4">
        <f>Table4[[#This Row],[avg_viewers_per_stream]] / Table4[[#This Row],[total_followers]]</f>
        <v>5.1675862068965517E-2</v>
      </c>
    </row>
    <row r="975" spans="1:20">
      <c r="A975">
        <v>975</v>
      </c>
      <c r="B975" t="s">
        <v>1234</v>
      </c>
      <c r="C975" t="s">
        <v>63</v>
      </c>
      <c r="D975" t="s">
        <v>39</v>
      </c>
      <c r="E975" t="s">
        <v>595</v>
      </c>
      <c r="G975" s="3">
        <v>3.1</v>
      </c>
      <c r="H975">
        <v>20</v>
      </c>
      <c r="I975">
        <v>0</v>
      </c>
      <c r="J975">
        <v>1</v>
      </c>
      <c r="K975">
        <v>60</v>
      </c>
      <c r="L975" s="2">
        <v>3</v>
      </c>
      <c r="M975" s="2">
        <v>0</v>
      </c>
      <c r="N975">
        <v>1</v>
      </c>
      <c r="O975">
        <v>0.7</v>
      </c>
      <c r="P975" t="s">
        <v>17</v>
      </c>
      <c r="Q975" t="s">
        <v>17</v>
      </c>
      <c r="R975" s="2">
        <f>Table4[[#This Row],[total_followers]]/(Table4[[#This Row],[total_time_streamed]] / 60)</f>
        <v>3</v>
      </c>
      <c r="S975" t="str">
        <f>IF(Table4[[#This Row],[avg_games_per_stream]] &gt; 2, "Variety", "Focused")</f>
        <v>Focused</v>
      </c>
      <c r="T975" s="4">
        <f>Table4[[#This Row],[avg_viewers_per_stream]] / Table4[[#This Row],[total_followers]]</f>
        <v>0</v>
      </c>
    </row>
    <row r="976" spans="1:20">
      <c r="A976">
        <v>976</v>
      </c>
      <c r="B976" t="s">
        <v>1235</v>
      </c>
      <c r="C976" t="s">
        <v>4</v>
      </c>
      <c r="D976" t="s">
        <v>39</v>
      </c>
      <c r="E976" t="s">
        <v>40</v>
      </c>
      <c r="F976" t="s">
        <v>1236</v>
      </c>
      <c r="G976" s="3">
        <v>3</v>
      </c>
      <c r="H976">
        <v>3725</v>
      </c>
      <c r="I976">
        <v>0</v>
      </c>
      <c r="J976">
        <v>1.3</v>
      </c>
      <c r="K976">
        <v>660</v>
      </c>
      <c r="L976" s="2">
        <v>169000</v>
      </c>
      <c r="M976" s="2">
        <v>0</v>
      </c>
      <c r="N976">
        <v>12</v>
      </c>
      <c r="O976">
        <v>0.9</v>
      </c>
      <c r="P976" t="s">
        <v>14</v>
      </c>
      <c r="Q976" t="s">
        <v>14</v>
      </c>
      <c r="R976" s="2">
        <f>Table4[[#This Row],[total_followers]]/(Table4[[#This Row],[total_time_streamed]] / 60)</f>
        <v>15363.636363636364</v>
      </c>
      <c r="S976" t="str">
        <f>IF(Table4[[#This Row],[avg_games_per_stream]] &gt; 2, "Variety", "Focused")</f>
        <v>Focused</v>
      </c>
      <c r="T976" s="4">
        <f>Table4[[#This Row],[avg_viewers_per_stream]] / Table4[[#This Row],[total_followers]]</f>
        <v>0</v>
      </c>
    </row>
    <row r="977" spans="1:20">
      <c r="A977">
        <v>977</v>
      </c>
      <c r="B977" t="s">
        <v>1237</v>
      </c>
      <c r="C977" t="s">
        <v>3</v>
      </c>
      <c r="D977" t="s">
        <v>39</v>
      </c>
      <c r="E977" t="s">
        <v>121</v>
      </c>
      <c r="F977" t="s">
        <v>98</v>
      </c>
      <c r="G977" s="3">
        <v>3.6</v>
      </c>
      <c r="H977">
        <v>1170</v>
      </c>
      <c r="I977">
        <v>6490</v>
      </c>
      <c r="J977">
        <v>1</v>
      </c>
      <c r="K977">
        <v>7394</v>
      </c>
      <c r="L977" s="2">
        <v>250000</v>
      </c>
      <c r="M977" s="2">
        <v>1390000</v>
      </c>
      <c r="N977">
        <v>25</v>
      </c>
      <c r="O977">
        <v>5.6</v>
      </c>
      <c r="P977" t="s">
        <v>19</v>
      </c>
      <c r="Q977" t="s">
        <v>15</v>
      </c>
      <c r="R977" s="2">
        <f>Table4[[#This Row],[total_followers]]/(Table4[[#This Row],[total_time_streamed]] / 60)</f>
        <v>2028.6718961319989</v>
      </c>
      <c r="S977" t="str">
        <f>IF(Table4[[#This Row],[avg_games_per_stream]] &gt; 2, "Variety", "Focused")</f>
        <v>Focused</v>
      </c>
      <c r="T977" s="4">
        <f>Table4[[#This Row],[avg_viewers_per_stream]] / Table4[[#This Row],[total_followers]]</f>
        <v>2.596E-2</v>
      </c>
    </row>
    <row r="978" spans="1:20">
      <c r="A978">
        <v>978</v>
      </c>
      <c r="B978" t="s">
        <v>1238</v>
      </c>
      <c r="C978" t="s">
        <v>3</v>
      </c>
      <c r="D978" t="s">
        <v>39</v>
      </c>
      <c r="E978" t="s">
        <v>189</v>
      </c>
      <c r="F978" t="s">
        <v>226</v>
      </c>
      <c r="G978" s="3">
        <v>5.2</v>
      </c>
      <c r="H978">
        <v>470</v>
      </c>
      <c r="I978">
        <v>1040</v>
      </c>
      <c r="J978">
        <v>1</v>
      </c>
      <c r="K978">
        <v>4007</v>
      </c>
      <c r="L978" s="2">
        <v>47000</v>
      </c>
      <c r="M978" s="2">
        <v>105000</v>
      </c>
      <c r="N978">
        <v>16</v>
      </c>
      <c r="O978">
        <v>4.5</v>
      </c>
      <c r="P978" t="s">
        <v>19</v>
      </c>
      <c r="Q978" t="s">
        <v>17</v>
      </c>
      <c r="R978" s="2">
        <f>Table4[[#This Row],[total_followers]]/(Table4[[#This Row],[total_time_streamed]] / 60)</f>
        <v>703.76840529074127</v>
      </c>
      <c r="S978" t="str">
        <f>IF(Table4[[#This Row],[avg_games_per_stream]] &gt; 2, "Variety", "Focused")</f>
        <v>Focused</v>
      </c>
      <c r="T978" s="4">
        <f>Table4[[#This Row],[avg_viewers_per_stream]] / Table4[[#This Row],[total_followers]]</f>
        <v>2.2127659574468085E-2</v>
      </c>
    </row>
    <row r="979" spans="1:20">
      <c r="A979">
        <v>979</v>
      </c>
      <c r="B979" t="s">
        <v>1239</v>
      </c>
      <c r="C979" t="s">
        <v>3</v>
      </c>
      <c r="D979" t="s">
        <v>39</v>
      </c>
      <c r="E979" t="s">
        <v>51</v>
      </c>
      <c r="F979" t="s">
        <v>1218</v>
      </c>
      <c r="G979" s="3">
        <v>6.5</v>
      </c>
      <c r="H979">
        <v>1780</v>
      </c>
      <c r="I979">
        <v>9415</v>
      </c>
      <c r="J979">
        <v>1.3</v>
      </c>
      <c r="K979">
        <v>1126</v>
      </c>
      <c r="L979" s="2">
        <v>546000</v>
      </c>
      <c r="M979" s="2">
        <v>21800000</v>
      </c>
      <c r="N979">
        <v>342</v>
      </c>
      <c r="O979">
        <v>4.4000000000000004</v>
      </c>
      <c r="P979" t="s">
        <v>19</v>
      </c>
      <c r="Q979" t="s">
        <v>16</v>
      </c>
      <c r="R979" s="2">
        <f>Table4[[#This Row],[total_followers]]/(Table4[[#This Row],[total_time_streamed]] / 60)</f>
        <v>29094.138543516874</v>
      </c>
      <c r="S979" t="str">
        <f>IF(Table4[[#This Row],[avg_games_per_stream]] &gt; 2, "Variety", "Focused")</f>
        <v>Focused</v>
      </c>
      <c r="T979" s="4">
        <f>Table4[[#This Row],[avg_viewers_per_stream]] / Table4[[#This Row],[total_followers]]</f>
        <v>1.7243589743589742E-2</v>
      </c>
    </row>
    <row r="980" spans="1:20">
      <c r="A980">
        <v>980</v>
      </c>
      <c r="B980" t="s">
        <v>1240</v>
      </c>
      <c r="C980" t="s">
        <v>2</v>
      </c>
      <c r="D980" t="s">
        <v>39</v>
      </c>
      <c r="E980" t="s">
        <v>40</v>
      </c>
      <c r="F980" t="s">
        <v>695</v>
      </c>
      <c r="G980" s="3">
        <v>5.9</v>
      </c>
      <c r="H980">
        <v>3820</v>
      </c>
      <c r="I980">
        <v>0</v>
      </c>
      <c r="J980">
        <v>1.3</v>
      </c>
      <c r="K980">
        <v>1735</v>
      </c>
      <c r="L980" s="2">
        <v>117000</v>
      </c>
      <c r="M980" s="2">
        <v>0</v>
      </c>
      <c r="N980">
        <v>31</v>
      </c>
      <c r="O980">
        <v>3.7</v>
      </c>
      <c r="P980" t="s">
        <v>19</v>
      </c>
      <c r="Q980" t="s">
        <v>14</v>
      </c>
      <c r="R980" s="2">
        <f>Table4[[#This Row],[total_followers]]/(Table4[[#This Row],[total_time_streamed]] / 60)</f>
        <v>4046.109510086455</v>
      </c>
      <c r="S980" t="str">
        <f>IF(Table4[[#This Row],[avg_games_per_stream]] &gt; 2, "Variety", "Focused")</f>
        <v>Focused</v>
      </c>
      <c r="T980" s="4">
        <f>Table4[[#This Row],[avg_viewers_per_stream]] / Table4[[#This Row],[total_followers]]</f>
        <v>0</v>
      </c>
    </row>
    <row r="981" spans="1:20">
      <c r="A981">
        <v>981</v>
      </c>
      <c r="B981" t="s">
        <v>1241</v>
      </c>
      <c r="C981" t="s">
        <v>7</v>
      </c>
      <c r="D981" t="s">
        <v>39</v>
      </c>
      <c r="E981" t="s">
        <v>121</v>
      </c>
      <c r="F981" t="s">
        <v>12</v>
      </c>
      <c r="G981" s="3">
        <v>4</v>
      </c>
      <c r="H981">
        <v>3620</v>
      </c>
      <c r="I981">
        <v>6812</v>
      </c>
      <c r="J981">
        <v>1</v>
      </c>
      <c r="K981">
        <v>2603</v>
      </c>
      <c r="L981" s="2">
        <v>195000</v>
      </c>
      <c r="M981" s="2">
        <v>3670000</v>
      </c>
      <c r="N981">
        <v>3</v>
      </c>
      <c r="O981">
        <v>1.6</v>
      </c>
      <c r="P981" t="s">
        <v>14</v>
      </c>
      <c r="Q981" t="s">
        <v>14</v>
      </c>
      <c r="R981" s="2">
        <f>Table4[[#This Row],[total_followers]]/(Table4[[#This Row],[total_time_streamed]] / 60)</f>
        <v>4494.8136765270838</v>
      </c>
      <c r="S981" t="str">
        <f>IF(Table4[[#This Row],[avg_games_per_stream]] &gt; 2, "Variety", "Focused")</f>
        <v>Focused</v>
      </c>
      <c r="T981" s="4">
        <f>Table4[[#This Row],[avg_viewers_per_stream]] / Table4[[#This Row],[total_followers]]</f>
        <v>3.493333333333333E-2</v>
      </c>
    </row>
    <row r="982" spans="1:20">
      <c r="A982">
        <v>982</v>
      </c>
      <c r="B982" t="s">
        <v>1242</v>
      </c>
      <c r="C982" t="s">
        <v>6</v>
      </c>
      <c r="D982" t="s">
        <v>39</v>
      </c>
      <c r="E982" t="s">
        <v>40</v>
      </c>
      <c r="F982" t="s">
        <v>66</v>
      </c>
      <c r="G982" s="3">
        <v>4.2</v>
      </c>
      <c r="H982">
        <v>8310</v>
      </c>
      <c r="I982">
        <v>4394</v>
      </c>
      <c r="J982">
        <v>1.6</v>
      </c>
      <c r="K982">
        <v>4862</v>
      </c>
      <c r="L982" s="2">
        <v>777000</v>
      </c>
      <c r="M982" s="2">
        <v>4110000</v>
      </c>
      <c r="N982">
        <v>80</v>
      </c>
      <c r="O982">
        <v>4.7</v>
      </c>
      <c r="P982" t="s">
        <v>19</v>
      </c>
      <c r="Q982" t="s">
        <v>17</v>
      </c>
      <c r="R982" s="2">
        <f>Table4[[#This Row],[total_followers]]/(Table4[[#This Row],[total_time_streamed]] / 60)</f>
        <v>9588.6466474701774</v>
      </c>
      <c r="S982" t="str">
        <f>IF(Table4[[#This Row],[avg_games_per_stream]] &gt; 2, "Variety", "Focused")</f>
        <v>Focused</v>
      </c>
      <c r="T982" s="4">
        <f>Table4[[#This Row],[avg_viewers_per_stream]] / Table4[[#This Row],[total_followers]]</f>
        <v>5.6550836550836548E-3</v>
      </c>
    </row>
    <row r="983" spans="1:20">
      <c r="A983">
        <v>983</v>
      </c>
      <c r="B983" t="s">
        <v>1243</v>
      </c>
      <c r="C983" t="s">
        <v>4</v>
      </c>
      <c r="D983" t="s">
        <v>39</v>
      </c>
      <c r="E983" t="s">
        <v>66</v>
      </c>
      <c r="F983" t="s">
        <v>74</v>
      </c>
      <c r="G983" s="3">
        <v>3.5</v>
      </c>
      <c r="H983">
        <v>2250</v>
      </c>
      <c r="I983">
        <v>1600</v>
      </c>
      <c r="J983">
        <v>1.4</v>
      </c>
      <c r="K983">
        <v>1591</v>
      </c>
      <c r="L983" s="2">
        <v>106000</v>
      </c>
      <c r="M983" s="2">
        <v>75000</v>
      </c>
      <c r="N983">
        <v>42</v>
      </c>
      <c r="O983">
        <v>2</v>
      </c>
      <c r="P983" t="s">
        <v>14</v>
      </c>
      <c r="Q983" t="s">
        <v>14</v>
      </c>
      <c r="R983" s="2">
        <f>Table4[[#This Row],[total_followers]]/(Table4[[#This Row],[total_time_streamed]] / 60)</f>
        <v>3997.4858579509742</v>
      </c>
      <c r="S983" t="str">
        <f>IF(Table4[[#This Row],[avg_games_per_stream]] &gt; 2, "Variety", "Focused")</f>
        <v>Focused</v>
      </c>
      <c r="T983" s="4">
        <f>Table4[[#This Row],[avg_viewers_per_stream]] / Table4[[#This Row],[total_followers]]</f>
        <v>1.509433962264151E-2</v>
      </c>
    </row>
    <row r="984" spans="1:20">
      <c r="A984">
        <v>984</v>
      </c>
      <c r="B984" t="s">
        <v>1244</v>
      </c>
      <c r="C984" t="s">
        <v>3</v>
      </c>
      <c r="D984" t="s">
        <v>39</v>
      </c>
      <c r="E984" t="s">
        <v>293</v>
      </c>
      <c r="F984" t="s">
        <v>41</v>
      </c>
      <c r="G984" s="3">
        <v>8.5</v>
      </c>
      <c r="H984">
        <v>960</v>
      </c>
      <c r="I984">
        <v>6832</v>
      </c>
      <c r="J984">
        <v>1.1000000000000001</v>
      </c>
      <c r="K984">
        <v>20786</v>
      </c>
      <c r="L984" s="2">
        <v>239000</v>
      </c>
      <c r="M984" s="2">
        <v>17000000</v>
      </c>
      <c r="N984">
        <v>58</v>
      </c>
      <c r="O984">
        <v>6.2</v>
      </c>
      <c r="P984" t="s">
        <v>17</v>
      </c>
      <c r="Q984" t="s">
        <v>14</v>
      </c>
      <c r="R984" s="2">
        <f>Table4[[#This Row],[total_followers]]/(Table4[[#This Row],[total_time_streamed]] / 60)</f>
        <v>689.88742422784571</v>
      </c>
      <c r="S984" t="str">
        <f>IF(Table4[[#This Row],[avg_games_per_stream]] &gt; 2, "Variety", "Focused")</f>
        <v>Focused</v>
      </c>
      <c r="T984" s="4">
        <f>Table4[[#This Row],[avg_viewers_per_stream]] / Table4[[#This Row],[total_followers]]</f>
        <v>2.8585774058577405E-2</v>
      </c>
    </row>
    <row r="985" spans="1:20">
      <c r="A985">
        <v>985</v>
      </c>
      <c r="B985" t="s">
        <v>1245</v>
      </c>
      <c r="C985" t="s">
        <v>3</v>
      </c>
      <c r="D985" t="s">
        <v>39</v>
      </c>
      <c r="E985" t="s">
        <v>40</v>
      </c>
      <c r="F985" t="s">
        <v>1014</v>
      </c>
      <c r="G985" s="3">
        <v>5.0999999999999996</v>
      </c>
      <c r="H985">
        <v>540</v>
      </c>
      <c r="I985">
        <v>1698</v>
      </c>
      <c r="J985">
        <v>1</v>
      </c>
      <c r="K985">
        <v>6787</v>
      </c>
      <c r="L985" s="2">
        <v>71200</v>
      </c>
      <c r="M985" s="2">
        <v>2240000</v>
      </c>
      <c r="N985">
        <v>12</v>
      </c>
      <c r="O985">
        <v>4.2</v>
      </c>
      <c r="P985" t="s">
        <v>19</v>
      </c>
      <c r="Q985" t="s">
        <v>14</v>
      </c>
      <c r="R985" s="2">
        <f>Table4[[#This Row],[total_followers]]/(Table4[[#This Row],[total_time_streamed]] / 60)</f>
        <v>629.43863268012376</v>
      </c>
      <c r="S985" t="str">
        <f>IF(Table4[[#This Row],[avg_games_per_stream]] &gt; 2, "Variety", "Focused")</f>
        <v>Focused</v>
      </c>
      <c r="T985" s="4">
        <f>Table4[[#This Row],[avg_viewers_per_stream]] / Table4[[#This Row],[total_followers]]</f>
        <v>2.3848314606741573E-2</v>
      </c>
    </row>
    <row r="986" spans="1:20">
      <c r="A986">
        <v>986</v>
      </c>
      <c r="B986" t="s">
        <v>1246</v>
      </c>
      <c r="C986" t="s">
        <v>3</v>
      </c>
      <c r="D986" t="s">
        <v>39</v>
      </c>
      <c r="E986" t="s">
        <v>74</v>
      </c>
      <c r="F986" t="s">
        <v>88</v>
      </c>
      <c r="G986" s="3">
        <v>6</v>
      </c>
      <c r="H986">
        <v>3633</v>
      </c>
      <c r="I986">
        <v>54313</v>
      </c>
      <c r="J986">
        <v>1.2</v>
      </c>
      <c r="K986">
        <v>8654</v>
      </c>
      <c r="L986" s="2">
        <v>5350000</v>
      </c>
      <c r="M986" s="2">
        <v>79900000</v>
      </c>
      <c r="N986">
        <v>85</v>
      </c>
      <c r="O986">
        <v>4</v>
      </c>
      <c r="P986" t="s">
        <v>17</v>
      </c>
      <c r="Q986" t="s">
        <v>14</v>
      </c>
      <c r="R986" s="2">
        <f>Table4[[#This Row],[total_followers]]/(Table4[[#This Row],[total_time_streamed]] / 60)</f>
        <v>37092.673908019417</v>
      </c>
      <c r="S986" t="str">
        <f>IF(Table4[[#This Row],[avg_games_per_stream]] &gt; 2, "Variety", "Focused")</f>
        <v>Focused</v>
      </c>
      <c r="T986" s="4">
        <f>Table4[[#This Row],[avg_viewers_per_stream]] / Table4[[#This Row],[total_followers]]</f>
        <v>1.015196261682243E-2</v>
      </c>
    </row>
    <row r="987" spans="1:20">
      <c r="A987">
        <v>987</v>
      </c>
      <c r="B987" t="s">
        <v>1247</v>
      </c>
      <c r="C987" t="s">
        <v>3</v>
      </c>
      <c r="D987" t="s">
        <v>58</v>
      </c>
      <c r="E987" t="s">
        <v>56</v>
      </c>
      <c r="F987" t="s">
        <v>12</v>
      </c>
      <c r="G987" s="3">
        <v>5.6</v>
      </c>
      <c r="H987">
        <v>1026</v>
      </c>
      <c r="I987">
        <v>3238</v>
      </c>
      <c r="J987">
        <v>1</v>
      </c>
      <c r="K987">
        <v>1435</v>
      </c>
      <c r="L987" s="2">
        <v>297000</v>
      </c>
      <c r="M987" s="2">
        <v>9380000</v>
      </c>
      <c r="N987">
        <v>2</v>
      </c>
      <c r="O987">
        <v>0.8</v>
      </c>
      <c r="P987" t="s">
        <v>19</v>
      </c>
      <c r="Q987" t="s">
        <v>14</v>
      </c>
      <c r="R987" s="2">
        <f>Table4[[#This Row],[total_followers]]/(Table4[[#This Row],[total_time_streamed]] / 60)</f>
        <v>12418.118466898954</v>
      </c>
      <c r="S987" t="str">
        <f>IF(Table4[[#This Row],[avg_games_per_stream]] &gt; 2, "Variety", "Focused")</f>
        <v>Focused</v>
      </c>
      <c r="T987" s="4">
        <f>Table4[[#This Row],[avg_viewers_per_stream]] / Table4[[#This Row],[total_followers]]</f>
        <v>1.0902356902356903E-2</v>
      </c>
    </row>
    <row r="988" spans="1:20">
      <c r="A988">
        <v>988</v>
      </c>
      <c r="B988" t="s">
        <v>1248</v>
      </c>
      <c r="C988" t="s">
        <v>3</v>
      </c>
      <c r="D988" t="s">
        <v>39</v>
      </c>
      <c r="E988" t="s">
        <v>88</v>
      </c>
      <c r="F988" t="s">
        <v>70</v>
      </c>
      <c r="G988" s="3">
        <v>2.7</v>
      </c>
      <c r="H988">
        <v>3045</v>
      </c>
      <c r="I988">
        <v>6844</v>
      </c>
      <c r="J988">
        <v>1.1000000000000001</v>
      </c>
      <c r="K988">
        <v>1135</v>
      </c>
      <c r="L988" s="2">
        <v>1310000</v>
      </c>
      <c r="M988" s="2">
        <v>3020000</v>
      </c>
      <c r="N988">
        <v>114</v>
      </c>
      <c r="O988">
        <v>1.1000000000000001</v>
      </c>
      <c r="P988" t="s">
        <v>14</v>
      </c>
      <c r="Q988" t="s">
        <v>20</v>
      </c>
      <c r="R988" s="2">
        <f>Table4[[#This Row],[total_followers]]/(Table4[[#This Row],[total_time_streamed]] / 60)</f>
        <v>69251.101321585898</v>
      </c>
      <c r="S988" t="str">
        <f>IF(Table4[[#This Row],[avg_games_per_stream]] &gt; 2, "Variety", "Focused")</f>
        <v>Focused</v>
      </c>
      <c r="T988" s="4">
        <f>Table4[[#This Row],[avg_viewers_per_stream]] / Table4[[#This Row],[total_followers]]</f>
        <v>5.2244274809160303E-3</v>
      </c>
    </row>
    <row r="989" spans="1:20">
      <c r="A989">
        <v>989</v>
      </c>
      <c r="B989" t="s">
        <v>1249</v>
      </c>
      <c r="C989" t="s">
        <v>4</v>
      </c>
      <c r="D989" t="s">
        <v>39</v>
      </c>
      <c r="E989" t="s">
        <v>121</v>
      </c>
      <c r="F989" t="s">
        <v>1250</v>
      </c>
      <c r="G989" s="3">
        <v>4.5</v>
      </c>
      <c r="H989">
        <v>8510</v>
      </c>
      <c r="I989">
        <v>14497</v>
      </c>
      <c r="J989">
        <v>1.5</v>
      </c>
      <c r="K989">
        <v>3818</v>
      </c>
      <c r="L989" s="2">
        <v>777000</v>
      </c>
      <c r="M989" s="2">
        <v>12900000</v>
      </c>
      <c r="N989">
        <v>337</v>
      </c>
      <c r="O989">
        <v>2.2000000000000002</v>
      </c>
      <c r="P989" t="s">
        <v>16</v>
      </c>
      <c r="Q989" t="s">
        <v>15</v>
      </c>
      <c r="R989" s="2">
        <f>Table4[[#This Row],[total_followers]]/(Table4[[#This Row],[total_time_streamed]] / 60)</f>
        <v>12210.581456259823</v>
      </c>
      <c r="S989" t="str">
        <f>IF(Table4[[#This Row],[avg_games_per_stream]] &gt; 2, "Variety", "Focused")</f>
        <v>Focused</v>
      </c>
      <c r="T989" s="4">
        <f>Table4[[#This Row],[avg_viewers_per_stream]] / Table4[[#This Row],[total_followers]]</f>
        <v>1.8657657657657659E-2</v>
      </c>
    </row>
    <row r="990" spans="1:20">
      <c r="A990">
        <v>990</v>
      </c>
      <c r="B990" t="s">
        <v>1251</v>
      </c>
      <c r="C990" t="s">
        <v>63</v>
      </c>
      <c r="D990" t="s">
        <v>39</v>
      </c>
      <c r="E990" t="s">
        <v>40</v>
      </c>
      <c r="F990" t="s">
        <v>411</v>
      </c>
      <c r="G990" s="3">
        <v>7.2</v>
      </c>
      <c r="H990">
        <v>1090</v>
      </c>
      <c r="I990">
        <v>13845</v>
      </c>
      <c r="J990">
        <v>1.9</v>
      </c>
      <c r="K990">
        <v>14056</v>
      </c>
      <c r="L990" s="2">
        <v>216000</v>
      </c>
      <c r="M990" s="2">
        <v>27300000</v>
      </c>
      <c r="N990">
        <v>311</v>
      </c>
      <c r="O990">
        <v>4.9000000000000004</v>
      </c>
      <c r="P990" t="s">
        <v>17</v>
      </c>
      <c r="Q990" t="s">
        <v>14</v>
      </c>
      <c r="R990" s="2">
        <f>Table4[[#This Row],[total_followers]]/(Table4[[#This Row],[total_time_streamed]] / 60)</f>
        <v>922.02618099032441</v>
      </c>
      <c r="S990" t="str">
        <f>IF(Table4[[#This Row],[avg_games_per_stream]] &gt; 2, "Variety", "Focused")</f>
        <v>Focused</v>
      </c>
      <c r="T990" s="4">
        <f>Table4[[#This Row],[avg_viewers_per_stream]] / Table4[[#This Row],[total_followers]]</f>
        <v>6.4097222222222222E-2</v>
      </c>
    </row>
    <row r="991" spans="1:20">
      <c r="A991">
        <v>991</v>
      </c>
      <c r="B991" t="s">
        <v>1252</v>
      </c>
      <c r="C991" t="s">
        <v>3</v>
      </c>
      <c r="D991" t="s">
        <v>39</v>
      </c>
      <c r="E991" t="s">
        <v>51</v>
      </c>
      <c r="F991" t="s">
        <v>40</v>
      </c>
      <c r="G991" s="3">
        <v>2.7</v>
      </c>
      <c r="H991">
        <v>6535</v>
      </c>
      <c r="I991">
        <v>98411</v>
      </c>
      <c r="J991">
        <v>1.2</v>
      </c>
      <c r="K991">
        <v>1927</v>
      </c>
      <c r="L991" s="2">
        <v>4440000</v>
      </c>
      <c r="M991" s="2">
        <v>66900000</v>
      </c>
      <c r="N991">
        <v>214</v>
      </c>
      <c r="O991">
        <v>3.7</v>
      </c>
      <c r="P991" t="s">
        <v>15</v>
      </c>
      <c r="Q991" t="s">
        <v>15</v>
      </c>
      <c r="R991" s="2">
        <f>Table4[[#This Row],[total_followers]]/(Table4[[#This Row],[total_time_streamed]] / 60)</f>
        <v>138245.97820446288</v>
      </c>
      <c r="S991" t="str">
        <f>IF(Table4[[#This Row],[avg_games_per_stream]] &gt; 2, "Variety", "Focused")</f>
        <v>Focused</v>
      </c>
      <c r="T991" s="4">
        <f>Table4[[#This Row],[avg_viewers_per_stream]] / Table4[[#This Row],[total_followers]]</f>
        <v>2.216463963963964E-2</v>
      </c>
    </row>
    <row r="992" spans="1:20">
      <c r="A992">
        <v>992</v>
      </c>
      <c r="B992" t="s">
        <v>1253</v>
      </c>
      <c r="C992" t="s">
        <v>61</v>
      </c>
      <c r="D992" t="s">
        <v>39</v>
      </c>
      <c r="E992" t="s">
        <v>66</v>
      </c>
      <c r="F992" t="s">
        <v>40</v>
      </c>
      <c r="G992" s="3">
        <v>3.8</v>
      </c>
      <c r="H992">
        <v>9250</v>
      </c>
      <c r="I992">
        <v>1366</v>
      </c>
      <c r="J992">
        <v>1.6</v>
      </c>
      <c r="K992">
        <v>7270</v>
      </c>
      <c r="L992" s="2">
        <v>172000</v>
      </c>
      <c r="M992" s="2">
        <v>253000</v>
      </c>
      <c r="N992">
        <v>44</v>
      </c>
      <c r="O992">
        <v>0.7</v>
      </c>
      <c r="P992" t="s">
        <v>17</v>
      </c>
      <c r="Q992" t="s">
        <v>19</v>
      </c>
      <c r="R992" s="2">
        <f>Table4[[#This Row],[total_followers]]/(Table4[[#This Row],[total_time_streamed]] / 60)</f>
        <v>1419.5323246217331</v>
      </c>
      <c r="S992" t="str">
        <f>IF(Table4[[#This Row],[avg_games_per_stream]] &gt; 2, "Variety", "Focused")</f>
        <v>Focused</v>
      </c>
      <c r="T992" s="4">
        <f>Table4[[#This Row],[avg_viewers_per_stream]] / Table4[[#This Row],[total_followers]]</f>
        <v>7.9418604651162791E-3</v>
      </c>
    </row>
    <row r="993" spans="1:20">
      <c r="A993">
        <v>993</v>
      </c>
      <c r="B993" t="s">
        <v>1254</v>
      </c>
      <c r="C993" t="s">
        <v>61</v>
      </c>
      <c r="D993" t="s">
        <v>39</v>
      </c>
      <c r="E993" t="s">
        <v>40</v>
      </c>
      <c r="F993" t="s">
        <v>1255</v>
      </c>
      <c r="G993" s="3">
        <v>6.2</v>
      </c>
      <c r="H993">
        <v>2600</v>
      </c>
      <c r="I993">
        <v>2647</v>
      </c>
      <c r="J993">
        <v>2.1</v>
      </c>
      <c r="K993">
        <v>303</v>
      </c>
      <c r="L993" s="2">
        <v>127000</v>
      </c>
      <c r="M993" s="2">
        <v>1290000</v>
      </c>
      <c r="N993">
        <v>226</v>
      </c>
      <c r="O993">
        <v>1.5</v>
      </c>
      <c r="P993" t="s">
        <v>18</v>
      </c>
      <c r="Q993" t="s">
        <v>14</v>
      </c>
      <c r="R993" s="2">
        <f>Table4[[#This Row],[total_followers]]/(Table4[[#This Row],[total_time_streamed]] / 60)</f>
        <v>25148.51485148515</v>
      </c>
      <c r="S993" t="str">
        <f>IF(Table4[[#This Row],[avg_games_per_stream]] &gt; 2, "Variety", "Focused")</f>
        <v>Variety</v>
      </c>
      <c r="T993" s="4">
        <f>Table4[[#This Row],[avg_viewers_per_stream]] / Table4[[#This Row],[total_followers]]</f>
        <v>2.0842519685039369E-2</v>
      </c>
    </row>
    <row r="994" spans="1:20">
      <c r="A994">
        <v>994</v>
      </c>
      <c r="B994" t="s">
        <v>1256</v>
      </c>
      <c r="C994" t="s">
        <v>3</v>
      </c>
      <c r="D994" t="s">
        <v>39</v>
      </c>
      <c r="E994" t="s">
        <v>448</v>
      </c>
      <c r="F994" t="s">
        <v>1257</v>
      </c>
      <c r="G994" s="3">
        <v>2.7</v>
      </c>
      <c r="H994">
        <v>2852</v>
      </c>
      <c r="I994">
        <v>40</v>
      </c>
      <c r="J994">
        <v>1.1000000000000001</v>
      </c>
      <c r="K994">
        <v>750</v>
      </c>
      <c r="L994" s="2">
        <v>65600</v>
      </c>
      <c r="M994" s="2">
        <v>191</v>
      </c>
      <c r="N994">
        <v>8</v>
      </c>
      <c r="O994">
        <v>0.2</v>
      </c>
      <c r="P994" t="s">
        <v>15</v>
      </c>
      <c r="Q994" t="s">
        <v>17</v>
      </c>
      <c r="R994" s="2">
        <f>Table4[[#This Row],[total_followers]]/(Table4[[#This Row],[total_time_streamed]] / 60)</f>
        <v>5248</v>
      </c>
      <c r="S994" t="str">
        <f>IF(Table4[[#This Row],[avg_games_per_stream]] &gt; 2, "Variety", "Focused")</f>
        <v>Focused</v>
      </c>
      <c r="T994" s="4">
        <f>Table4[[#This Row],[avg_viewers_per_stream]] / Table4[[#This Row],[total_followers]]</f>
        <v>6.0975609756097561E-4</v>
      </c>
    </row>
    <row r="995" spans="1:20">
      <c r="A995">
        <v>995</v>
      </c>
      <c r="B995" t="s">
        <v>1258</v>
      </c>
      <c r="C995" t="s">
        <v>5</v>
      </c>
      <c r="D995" t="s">
        <v>39</v>
      </c>
      <c r="E995" t="s">
        <v>54</v>
      </c>
      <c r="F995" t="s">
        <v>40</v>
      </c>
      <c r="G995" s="3">
        <v>5.0999999999999996</v>
      </c>
      <c r="H995">
        <v>6290</v>
      </c>
      <c r="I995">
        <v>2492</v>
      </c>
      <c r="J995">
        <v>1.4</v>
      </c>
      <c r="K995">
        <v>3001</v>
      </c>
      <c r="L995" s="2">
        <v>396000</v>
      </c>
      <c r="M995" s="2">
        <v>1570000</v>
      </c>
      <c r="N995">
        <v>142</v>
      </c>
      <c r="O995">
        <v>1.9</v>
      </c>
      <c r="P995" t="s">
        <v>15</v>
      </c>
      <c r="Q995" t="s">
        <v>14</v>
      </c>
      <c r="R995" s="2">
        <f>Table4[[#This Row],[total_followers]]/(Table4[[#This Row],[total_time_streamed]] / 60)</f>
        <v>7917.3608797067645</v>
      </c>
      <c r="S995" t="str">
        <f>IF(Table4[[#This Row],[avg_games_per_stream]] &gt; 2, "Variety", "Focused")</f>
        <v>Focused</v>
      </c>
      <c r="T995" s="4">
        <f>Table4[[#This Row],[avg_viewers_per_stream]] / Table4[[#This Row],[total_followers]]</f>
        <v>6.2929292929292929E-3</v>
      </c>
    </row>
    <row r="996" spans="1:20">
      <c r="A996">
        <v>996</v>
      </c>
      <c r="B996" t="s">
        <v>1259</v>
      </c>
      <c r="C996" t="s">
        <v>3</v>
      </c>
      <c r="D996" t="s">
        <v>39</v>
      </c>
      <c r="E996" t="s">
        <v>56</v>
      </c>
      <c r="F996" t="s">
        <v>40</v>
      </c>
      <c r="G996" s="3">
        <v>4</v>
      </c>
      <c r="H996">
        <v>2480</v>
      </c>
      <c r="I996">
        <v>1423</v>
      </c>
      <c r="J996">
        <v>1.3</v>
      </c>
      <c r="K996">
        <v>1873</v>
      </c>
      <c r="L996" s="2">
        <v>133000</v>
      </c>
      <c r="M996" s="2">
        <v>766000</v>
      </c>
      <c r="N996">
        <v>31</v>
      </c>
      <c r="O996">
        <v>1.8</v>
      </c>
      <c r="P996" t="s">
        <v>16</v>
      </c>
      <c r="Q996" t="s">
        <v>15</v>
      </c>
      <c r="R996" s="2">
        <f>Table4[[#This Row],[total_followers]]/(Table4[[#This Row],[total_time_streamed]] / 60)</f>
        <v>4260.5445808862787</v>
      </c>
      <c r="S996" t="str">
        <f>IF(Table4[[#This Row],[avg_games_per_stream]] &gt; 2, "Variety", "Focused")</f>
        <v>Focused</v>
      </c>
      <c r="T996" s="4">
        <f>Table4[[#This Row],[avg_viewers_per_stream]] / Table4[[#This Row],[total_followers]]</f>
        <v>1.0699248120300752E-2</v>
      </c>
    </row>
    <row r="997" spans="1:20">
      <c r="A997">
        <v>997</v>
      </c>
      <c r="B997" t="s">
        <v>1260</v>
      </c>
      <c r="C997" t="s">
        <v>6</v>
      </c>
      <c r="D997" t="s">
        <v>39</v>
      </c>
      <c r="E997" t="s">
        <v>85</v>
      </c>
      <c r="G997" s="3">
        <v>10.4</v>
      </c>
      <c r="H997">
        <v>8740</v>
      </c>
      <c r="I997">
        <v>0</v>
      </c>
      <c r="J997">
        <v>1</v>
      </c>
      <c r="K997">
        <v>210</v>
      </c>
      <c r="L997" s="2">
        <v>1300</v>
      </c>
      <c r="M997" s="2">
        <v>0</v>
      </c>
      <c r="N997">
        <v>1</v>
      </c>
      <c r="O997">
        <v>0.8</v>
      </c>
      <c r="P997" t="s">
        <v>18</v>
      </c>
      <c r="Q997" t="s">
        <v>18</v>
      </c>
      <c r="R997" s="2">
        <f>Table4[[#This Row],[total_followers]]/(Table4[[#This Row],[total_time_streamed]] / 60)</f>
        <v>371.42857142857144</v>
      </c>
      <c r="S997" t="str">
        <f>IF(Table4[[#This Row],[avg_games_per_stream]] &gt; 2, "Variety", "Focused")</f>
        <v>Focused</v>
      </c>
      <c r="T997" s="4">
        <f>Table4[[#This Row],[avg_viewers_per_stream]] / Table4[[#This Row],[total_followers]]</f>
        <v>0</v>
      </c>
    </row>
    <row r="998" spans="1:20">
      <c r="A998">
        <v>998</v>
      </c>
      <c r="B998" t="s">
        <v>1261</v>
      </c>
      <c r="C998" t="s">
        <v>6</v>
      </c>
      <c r="D998" t="s">
        <v>39</v>
      </c>
      <c r="E998" t="s">
        <v>85</v>
      </c>
      <c r="F998" t="s">
        <v>98</v>
      </c>
      <c r="G998" s="3">
        <v>9.6</v>
      </c>
      <c r="H998">
        <v>2160</v>
      </c>
      <c r="I998">
        <v>0</v>
      </c>
      <c r="J998">
        <v>1</v>
      </c>
      <c r="K998">
        <v>190</v>
      </c>
      <c r="L998" s="2">
        <v>1300</v>
      </c>
      <c r="M998" s="2">
        <v>0</v>
      </c>
      <c r="N998">
        <v>2</v>
      </c>
      <c r="O998">
        <v>0.4</v>
      </c>
      <c r="P998" t="s">
        <v>20</v>
      </c>
      <c r="Q998" t="s">
        <v>20</v>
      </c>
      <c r="R998" s="2">
        <f>Table4[[#This Row],[total_followers]]/(Table4[[#This Row],[total_time_streamed]] / 60)</f>
        <v>410.5263157894737</v>
      </c>
      <c r="S998" t="str">
        <f>IF(Table4[[#This Row],[avg_games_per_stream]] &gt; 2, "Variety", "Focused")</f>
        <v>Focused</v>
      </c>
      <c r="T998" s="4">
        <f>Table4[[#This Row],[avg_viewers_per_stream]] / Table4[[#This Row],[total_followers]]</f>
        <v>0</v>
      </c>
    </row>
    <row r="999" spans="1:20">
      <c r="A999">
        <v>999</v>
      </c>
      <c r="B999" t="s">
        <v>1262</v>
      </c>
      <c r="C999" t="s">
        <v>3</v>
      </c>
      <c r="D999" t="s">
        <v>39</v>
      </c>
      <c r="E999" t="s">
        <v>68</v>
      </c>
      <c r="F999" t="s">
        <v>582</v>
      </c>
      <c r="G999" s="3">
        <v>5.0999999999999996</v>
      </c>
      <c r="H999">
        <v>6050</v>
      </c>
      <c r="I999">
        <v>1619</v>
      </c>
      <c r="J999">
        <v>1.1000000000000001</v>
      </c>
      <c r="K999">
        <v>6827</v>
      </c>
      <c r="L999" s="2">
        <v>837000</v>
      </c>
      <c r="M999" s="2">
        <v>22400000</v>
      </c>
      <c r="N999">
        <v>24</v>
      </c>
      <c r="O999">
        <v>3.6</v>
      </c>
      <c r="P999" t="s">
        <v>17</v>
      </c>
      <c r="Q999" t="s">
        <v>16</v>
      </c>
      <c r="R999" s="2">
        <f>Table4[[#This Row],[total_followers]]/(Table4[[#This Row],[total_time_streamed]] / 60)</f>
        <v>7356.0861286070021</v>
      </c>
      <c r="S999" t="str">
        <f>IF(Table4[[#This Row],[avg_games_per_stream]] &gt; 2, "Variety", "Focused")</f>
        <v>Focused</v>
      </c>
      <c r="T999" s="4">
        <f>Table4[[#This Row],[avg_viewers_per_stream]] / Table4[[#This Row],[total_followers]]</f>
        <v>1.9342891278375149E-3</v>
      </c>
    </row>
    <row r="1000" spans="1:20">
      <c r="A1000">
        <v>1000</v>
      </c>
      <c r="B1000" t="s">
        <v>1263</v>
      </c>
      <c r="C1000" t="s">
        <v>3</v>
      </c>
      <c r="D1000" t="s">
        <v>39</v>
      </c>
      <c r="E1000" t="s">
        <v>51</v>
      </c>
      <c r="F1000" t="s">
        <v>40</v>
      </c>
      <c r="G1000" s="3">
        <v>7.9</v>
      </c>
      <c r="H1000">
        <v>970</v>
      </c>
      <c r="I1000">
        <v>21465</v>
      </c>
      <c r="J1000">
        <v>2.7</v>
      </c>
      <c r="K1000">
        <v>19426</v>
      </c>
      <c r="L1000" s="2">
        <v>856000</v>
      </c>
      <c r="M1000" s="2">
        <v>74500000</v>
      </c>
      <c r="N1000">
        <v>782</v>
      </c>
      <c r="O1000">
        <v>6.3</v>
      </c>
      <c r="P1000" t="s">
        <v>17</v>
      </c>
      <c r="Q1000" t="s">
        <v>14</v>
      </c>
      <c r="R1000" s="2">
        <f>Table4[[#This Row],[total_followers]]/(Table4[[#This Row],[total_time_streamed]] / 60)</f>
        <v>2643.8793369710697</v>
      </c>
      <c r="S1000" t="str">
        <f>IF(Table4[[#This Row],[avg_games_per_stream]] &gt; 2, "Variety", "Focused")</f>
        <v>Variety</v>
      </c>
      <c r="T1000" s="4">
        <f>Table4[[#This Row],[avg_viewers_per_stream]] / Table4[[#This Row],[total_followers]]</f>
        <v>2.5075934579439251E-2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2026-08-25T09:21:01Z</dcterms:created>
  <dcterms:modified xsi:type="dcterms:W3CDTF">2026-08-25T10:49:50Z</dcterms:modified>
  <cp:category/>
  <cp:contentStatus/>
</cp:coreProperties>
</file>